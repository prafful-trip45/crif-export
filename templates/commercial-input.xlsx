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alita\Data Support\Formats attachment\New formats\Overall\"/>
    </mc:Choice>
  </mc:AlternateContent>
  <xr:revisionPtr revIDLastSave="0" documentId="13_ncr:1_{0C7B5E61-8DA4-487F-A1D7-7563B5EE08E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structions" sheetId="10" r:id="rId1"/>
    <sheet name="HD" sheetId="1" r:id="rId2"/>
    <sheet name="BS" sheetId="12" r:id="rId3"/>
    <sheet name="AS" sheetId="3" r:id="rId4"/>
    <sheet name="RS" sheetId="13" r:id="rId5"/>
    <sheet name="CR" sheetId="5" r:id="rId6"/>
    <sheet name="GS" sheetId="6" r:id="rId7"/>
    <sheet name="SS" sheetId="7" r:id="rId8"/>
    <sheet name="CD" sheetId="8" r:id="rId9"/>
    <sheet name="TS" sheetId="9" r:id="rId10"/>
    <sheet name="sorting" sheetId="11" r:id="rId11"/>
  </sheets>
  <definedNames>
    <definedName name="_xlnm._FilterDatabase" localSheetId="3" hidden="1">AS!$A$1:$W$3</definedName>
    <definedName name="_xlnm._FilterDatabase" localSheetId="2" hidden="1">BS!$A$1:$AF$3</definedName>
    <definedName name="_xlnm._FilterDatabase" localSheetId="5" hidden="1">CR!$A$1:$AY$3</definedName>
    <definedName name="_xlnm._FilterDatabase" localSheetId="4" hidden="1">RS!$A$1:$AT$1</definedName>
    <definedName name="_xlnm.Print_Area" localSheetId="0">Instructions!$A$1:$F$42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P2" i="13" l="1"/>
  <c r="T2" i="3"/>
  <c r="T3" i="3"/>
  <c r="AQ2" i="13" l="1"/>
  <c r="AR2" i="13"/>
  <c r="AP3" i="13"/>
  <c r="AQ3" i="13"/>
  <c r="AR3" i="13"/>
  <c r="AS3" i="13" l="1"/>
  <c r="AS2" i="13"/>
  <c r="AE3" i="12" l="1"/>
  <c r="AD3" i="12"/>
  <c r="AF3" i="12" l="1"/>
  <c r="AE2" i="12"/>
  <c r="AD2" i="12"/>
  <c r="AF2" i="12" l="1"/>
  <c r="J3" i="5" l="1"/>
  <c r="J2" i="5"/>
  <c r="AX3" i="5" l="1"/>
  <c r="AX2" i="5"/>
  <c r="AP3" i="6" l="1"/>
  <c r="AO3" i="6"/>
  <c r="AN3" i="6"/>
  <c r="J3" i="7"/>
  <c r="J2" i="7"/>
  <c r="AP2" i="6"/>
  <c r="AO2" i="6"/>
  <c r="AW3" i="5"/>
  <c r="AV3" i="5"/>
  <c r="AW2" i="5"/>
  <c r="U3" i="3"/>
  <c r="U2" i="3"/>
  <c r="AN2" i="6"/>
  <c r="AQ2" i="6" s="1"/>
  <c r="AV2" i="5"/>
  <c r="K3" i="8"/>
  <c r="K2" i="8"/>
  <c r="H2" i="1"/>
  <c r="E2" i="9"/>
  <c r="AQ3" i="6" l="1"/>
  <c r="AY3" i="5"/>
  <c r="AY2" i="5"/>
  <c r="V3" i="3"/>
  <c r="V2" i="3"/>
</calcChain>
</file>

<file path=xl/sharedStrings.xml><?xml version="1.0" encoding="utf-8"?>
<sst xmlns="http://schemas.openxmlformats.org/spreadsheetml/2006/main" count="452" uniqueCount="248">
  <si>
    <t>Segment Identifer</t>
  </si>
  <si>
    <t>Member ID</t>
  </si>
  <si>
    <t>Previous Member ID</t>
  </si>
  <si>
    <t>Date of Creation &amp; Certification of Input File</t>
  </si>
  <si>
    <t>Reporting / Cycle Date</t>
  </si>
  <si>
    <t>Information Type</t>
  </si>
  <si>
    <t>Filler</t>
  </si>
  <si>
    <t>Segment Identifier</t>
  </si>
  <si>
    <t>Member Branch Code</t>
  </si>
  <si>
    <t>Previous Member Branch Code</t>
  </si>
  <si>
    <t>Borrower‟s Name</t>
  </si>
  <si>
    <t>Borrower Short Name</t>
  </si>
  <si>
    <t>Company Registration Number</t>
  </si>
  <si>
    <t>Date of Incorporation</t>
  </si>
  <si>
    <t>PAN</t>
  </si>
  <si>
    <t>CIN</t>
  </si>
  <si>
    <t>TIN</t>
  </si>
  <si>
    <t>Service Tax #</t>
  </si>
  <si>
    <t>Other ID</t>
  </si>
  <si>
    <t>Business Category</t>
  </si>
  <si>
    <t>Business/ Industry Type</t>
  </si>
  <si>
    <t>Class of Activity 1</t>
  </si>
  <si>
    <t>Class of Activity 2</t>
  </si>
  <si>
    <t>Class of Activity 3</t>
  </si>
  <si>
    <t>SIC Code</t>
  </si>
  <si>
    <t>Sales Figure</t>
  </si>
  <si>
    <t>Financial Year</t>
  </si>
  <si>
    <t>Number of Employees</t>
  </si>
  <si>
    <t>Credit Rating</t>
  </si>
  <si>
    <t>Assessment Agency / Authority</t>
  </si>
  <si>
    <t>Credit Rating As On</t>
  </si>
  <si>
    <t>Credit Rating Expiry Date</t>
  </si>
  <si>
    <t>Borrower Office Location Type</t>
  </si>
  <si>
    <t>Borrower Office DUNS Number</t>
  </si>
  <si>
    <t>Address Line 1</t>
  </si>
  <si>
    <t>Address Line 2</t>
  </si>
  <si>
    <t>Address Line 3</t>
  </si>
  <si>
    <t>City/Town</t>
  </si>
  <si>
    <t>District</t>
  </si>
  <si>
    <t>State/Union Territory</t>
  </si>
  <si>
    <t>Pin Code</t>
  </si>
  <si>
    <t>Country</t>
  </si>
  <si>
    <t>Mobile Number(s)</t>
  </si>
  <si>
    <t>Telephone Area Code</t>
  </si>
  <si>
    <t>Telephone Number(s)</t>
  </si>
  <si>
    <t>Fax Area Code</t>
  </si>
  <si>
    <t>Fax Number(s)</t>
  </si>
  <si>
    <t>Relationship DUNS Number</t>
  </si>
  <si>
    <t>Related Type</t>
  </si>
  <si>
    <t>Relationship</t>
  </si>
  <si>
    <t>Business Entity Name</t>
  </si>
  <si>
    <t>Business / Industry Type</t>
  </si>
  <si>
    <t>Individual Name Prefix</t>
  </si>
  <si>
    <t>Full Name</t>
  </si>
  <si>
    <t>Gender</t>
  </si>
  <si>
    <t>Date of Birth</t>
  </si>
  <si>
    <t>Voter ID</t>
  </si>
  <si>
    <t>Passport Number</t>
  </si>
  <si>
    <t>Driving Licence ID</t>
  </si>
  <si>
    <t>UID</t>
  </si>
  <si>
    <t>Ration Card No</t>
  </si>
  <si>
    <t>DIN</t>
  </si>
  <si>
    <t>Percentage of Control</t>
  </si>
  <si>
    <t>Account Number</t>
  </si>
  <si>
    <t>Previous Account Number</t>
  </si>
  <si>
    <t>Facility / Loan Activation / Sanction Date</t>
  </si>
  <si>
    <t>Sanctioned Amount/ Notional Amount of Contract</t>
  </si>
  <si>
    <t>Currency Code</t>
  </si>
  <si>
    <t>Tenure / Weighted Average maturity period of Contracts</t>
  </si>
  <si>
    <t>Repayment Frequency</t>
  </si>
  <si>
    <t>Drawing Power</t>
  </si>
  <si>
    <t>Current Balance / Limit Utilized /Mark to Market</t>
  </si>
  <si>
    <t>Notional Amount of Out-standing Restructured Contracts</t>
  </si>
  <si>
    <t>Loan Expiry / Maturity Date</t>
  </si>
  <si>
    <t>Loan Renewal Date</t>
  </si>
  <si>
    <t>Asset Classification Date</t>
  </si>
  <si>
    <t>Amount Overdue / Limit Overdue</t>
  </si>
  <si>
    <t>Overdue Bucket 05 (Above 180 days)</t>
  </si>
  <si>
    <t>High Credit</t>
  </si>
  <si>
    <t>Installment Amount</t>
  </si>
  <si>
    <t>Last Repaid Amount</t>
  </si>
  <si>
    <t>Account Status</t>
  </si>
  <si>
    <t>Account Status Date</t>
  </si>
  <si>
    <t>Written Off Amount</t>
  </si>
  <si>
    <t>Settled Amount</t>
  </si>
  <si>
    <t>Major reasons for Restructuring</t>
  </si>
  <si>
    <t>Amount of Contracts Classified as NPA</t>
  </si>
  <si>
    <t>Asset based Security coverage</t>
  </si>
  <si>
    <t>Guarantee Coverage</t>
  </si>
  <si>
    <t>Bank Remark Code</t>
  </si>
  <si>
    <t>Wilful Default Status</t>
  </si>
  <si>
    <t>Date Classified as Wilful Default</t>
  </si>
  <si>
    <t>Suit Filed Status</t>
  </si>
  <si>
    <t>Suit Reference Number</t>
  </si>
  <si>
    <t>Suit Amount in Rupees</t>
  </si>
  <si>
    <t>Date of Suit</t>
  </si>
  <si>
    <t>Dispute ID No.</t>
  </si>
  <si>
    <t>Transaction Type Code</t>
  </si>
  <si>
    <t>Guarantor DUNS Number</t>
  </si>
  <si>
    <t>Guarantor Type</t>
  </si>
  <si>
    <t>Guarantor Entity Name</t>
  </si>
  <si>
    <t>Value of Security</t>
  </si>
  <si>
    <t>Currency Type</t>
  </si>
  <si>
    <t>Type of Security</t>
  </si>
  <si>
    <t>Security Classification</t>
  </si>
  <si>
    <t>Date of Valuation</t>
  </si>
  <si>
    <t>Date of Dishonour</t>
  </si>
  <si>
    <t>Amount</t>
  </si>
  <si>
    <t>Instrument / Cheque Number</t>
  </si>
  <si>
    <t>Number of times dishonoured</t>
  </si>
  <si>
    <t>Cheque Issue Date</t>
  </si>
  <si>
    <t>Reason for Dishonour</t>
  </si>
  <si>
    <t>Segment identifier</t>
  </si>
  <si>
    <t>Number of Borrower Segments</t>
  </si>
  <si>
    <t>Number of Credit Facility Segments</t>
  </si>
  <si>
    <t>Borrowers Legal Constitution</t>
  </si>
  <si>
    <t>Required</t>
  </si>
  <si>
    <t>See Description</t>
  </si>
  <si>
    <t>Required Conditionally</t>
  </si>
  <si>
    <t>Credit Type</t>
  </si>
  <si>
    <t>When Available</t>
  </si>
  <si>
    <t>Overdue Bucket 01
( 1 – 30 days)</t>
  </si>
  <si>
    <t>Overdue Bucket 02
( 31 – 60 days)</t>
  </si>
  <si>
    <t>Overdue Bucket 03
( 61 – 90 days)</t>
  </si>
  <si>
    <t>Overdue Bucket 04
(91 – 180 days)</t>
  </si>
  <si>
    <t>Legend</t>
  </si>
  <si>
    <t>** Header is to be reported only once</t>
  </si>
  <si>
    <t>BS</t>
  </si>
  <si>
    <t>AS</t>
  </si>
  <si>
    <t>CR</t>
  </si>
  <si>
    <t>TS</t>
  </si>
  <si>
    <t>A/c No.</t>
  </si>
  <si>
    <t>Flag</t>
  </si>
  <si>
    <t>RS</t>
  </si>
  <si>
    <t>GS</t>
  </si>
  <si>
    <t>SS</t>
  </si>
  <si>
    <t>CD</t>
  </si>
  <si>
    <t>Formula</t>
  </si>
  <si>
    <t>01</t>
  </si>
  <si>
    <t>Final Formula</t>
  </si>
  <si>
    <t>07</t>
  </si>
  <si>
    <t>INR</t>
  </si>
  <si>
    <t>0001</t>
  </si>
  <si>
    <t>000-065</t>
  </si>
  <si>
    <t>000-064</t>
  </si>
  <si>
    <t>Nariman bhavan, nariman point,churchgate</t>
  </si>
  <si>
    <t>SS|3000000|INR|10|01|||</t>
  </si>
  <si>
    <t>SS|3000000|INR|11|01|||</t>
  </si>
  <si>
    <t>SS|20000000|INR|01|21|||</t>
  </si>
  <si>
    <t>Member
 ID</t>
  </si>
  <si>
    <t>Provided by  CIBIL</t>
  </si>
  <si>
    <t>Date of Creation
 &amp; Certification 
of Input File</t>
  </si>
  <si>
    <t>Last date of the month in DDMMYYYY format.</t>
  </si>
  <si>
    <t>HD: Header</t>
  </si>
  <si>
    <t>Segment identifier , Information Type,flag will 
be same as mention in  format</t>
  </si>
  <si>
    <t>BS: Borrower</t>
  </si>
  <si>
    <t>Date when the Data Input File was created/ extracted/ generated &amp; certified from the Member Branch.system Must be valid calendar date and in DDMMYYYY format.</t>
  </si>
  <si>
    <t>Borrower's Name</t>
  </si>
  <si>
    <t>Legal Business Name</t>
  </si>
  <si>
    <t xml:space="preserve">Borrowers Legal Constitution,Business Category,Business/ Industry Type
</t>
  </si>
  <si>
    <t>Code is given in guideline</t>
  </si>
  <si>
    <t xml:space="preserve">Branch code </t>
  </si>
  <si>
    <t>AS: Address</t>
  </si>
  <si>
    <t xml:space="preserve">Borrower Office
 Location Type
</t>
  </si>
  <si>
    <t>Specify address</t>
  </si>
  <si>
    <t>RS: Relationship</t>
  </si>
  <si>
    <t>Kindly maintain proper account no for all segment</t>
  </si>
  <si>
    <t xml:space="preserve">Related Type,Relationship
</t>
  </si>
  <si>
    <t>Specify name</t>
  </si>
  <si>
    <t>CR: Credit Facility</t>
  </si>
  <si>
    <t>A/C no and Account No</t>
  </si>
  <si>
    <t>Both should me same</t>
  </si>
  <si>
    <t>Sanctioned Amount/
 Notional Amount of Contract</t>
  </si>
  <si>
    <t>Positive loan amount should  be specify</t>
  </si>
  <si>
    <t>Current Balance /
 Limit Utilized /Mark to Market</t>
  </si>
  <si>
    <t>INR amount should be filled</t>
  </si>
  <si>
    <t>Amount Overdue 
/ Limit Overdue</t>
  </si>
  <si>
    <t>Currency Code,Credit Type
Repayment Frequency,
Asset Classification,Account Status,Wilful Default Status</t>
  </si>
  <si>
    <t xml:space="preserve">GS: Guarantor </t>
  </si>
  <si>
    <t>Guarantor Type,Business
 Category,Business / Industry Type</t>
  </si>
  <si>
    <t xml:space="preserve">SS:Security </t>
  </si>
  <si>
    <t>Currency Type,Type 
of Security,Security Classification</t>
  </si>
  <si>
    <t xml:space="preserve">CD: Dishonour of Cheques </t>
  </si>
  <si>
    <t>Must be valid calendar date
 and in DDMMYYYY format.</t>
  </si>
  <si>
    <t>Amount of the cheque dishonored</t>
  </si>
  <si>
    <t>Instrument / 
Cheque Number</t>
  </si>
  <si>
    <t>Number of times
 dishonoured</t>
  </si>
  <si>
    <t>Numeric value</t>
  </si>
  <si>
    <t>Number of times
 the cheque was dishonoured</t>
  </si>
  <si>
    <t>TS: File Closure</t>
  </si>
  <si>
    <t>Number of
 Borrower Segments</t>
  </si>
  <si>
    <t>Count of BR</t>
  </si>
  <si>
    <t>Number of Credit 
Facility Segments</t>
  </si>
  <si>
    <t>Count of CR</t>
  </si>
  <si>
    <t>BS|MUMBAI||ABC &amp; Sons|||||||||12|07|11|||||||||||||</t>
  </si>
  <si>
    <t>BS|MUMBAI||XYZ Institute of technology|||||||||99|07|11|||||||||||||</t>
  </si>
  <si>
    <t>AS|01||Narmiman bhavan, churchgate||||||||||||||</t>
  </si>
  <si>
    <t>AS|01||Makers chambers, churchgate||||||||||||||</t>
  </si>
  <si>
    <t>RS||2|53|||||Ram Patil|||||||||||||||||1234  Upper bhavan, goregaon||||||||||||||</t>
  </si>
  <si>
    <t>RS||1|11|||||Shyam Narang|||||||||||||||||Makers chambers, churchgate||||||||||||||</t>
  </si>
  <si>
    <t>RS||1|12|||||Shakti shah|||||||||||||||||Makers chambers, churchgate||||||||||||||</t>
  </si>
  <si>
    <t>RS||2|53|||||Navin Chopra|||||||||||||||||poise road, parel||||||||||||||</t>
  </si>
  <si>
    <t>CR|000-065|||3000000|INR|0420||02|0|3000000||||0001||0|||||||||01|||||||||0|||||||||</t>
  </si>
  <si>
    <t>CR|000-064|||20000000|INR|0420||01|0|20000000||||0001||0|||||||||01|||||||||0|||||||||</t>
  </si>
  <si>
    <t>GS||1|07|11|||||||||||||||||||Nariman bhavan, nariman point,churchgate||||||||||||||</t>
  </si>
  <si>
    <t>GS||2|07|11|||||||||||||||||||Nariman bhavan, nariman point,churchgate||||||||||||||</t>
  </si>
  <si>
    <t>GS||1|07|11|||||||||||||||||||Makers chambers, nariman point,churchgate||||||||||||||</t>
  </si>
  <si>
    <t>GS||2|07|11|||||||||||||||||||Makers chambers, nariman point,churchgate||||||||||||||</t>
  </si>
  <si>
    <t>CD|2022014|1000|12345|2|||</t>
  </si>
  <si>
    <t>CD|1022014|2000|986754|3|||</t>
  </si>
  <si>
    <t>Put santion  loan amount</t>
  </si>
  <si>
    <t>IMP:  Kindly copy  all A/c no, flag, segment identifier and  final formula  from BS to CD in sorting section ,while pasting final formula click on paste special option and paste values only. select column A i.e A/c no,go to DATA  menu option of excel of sorting page, click on SORT option ,Sort A/c no and Flag as smallest to largest, as result all data combine together, next step is kindly copy all final formula of HD, Sorting, TS in notepad and send to us</t>
  </si>
  <si>
    <t>Asset Classification/Number of days past due NDPD</t>
  </si>
  <si>
    <t>HD</t>
  </si>
  <si>
    <t>OTHER_BK</t>
  </si>
  <si>
    <t>UFCE (Amount)</t>
  </si>
  <si>
    <t>UFCE Date</t>
  </si>
  <si>
    <t>NB69080006</t>
  </si>
  <si>
    <t>11</t>
  </si>
  <si>
    <t>12</t>
  </si>
  <si>
    <t>NA</t>
  </si>
  <si>
    <t>BBB-</t>
  </si>
  <si>
    <t>ICRA</t>
  </si>
  <si>
    <t>Unrated</t>
  </si>
  <si>
    <t xml:space="preserve">35-A. </t>
  </si>
  <si>
    <t>079</t>
  </si>
  <si>
    <t>999999999</t>
  </si>
  <si>
    <t>1</t>
  </si>
  <si>
    <t>0410</t>
  </si>
  <si>
    <t>31032017</t>
  </si>
  <si>
    <t>MAHENDRAKUMAR CHOUHAN</t>
  </si>
  <si>
    <t>KAPILKUMAR RAJESHKUMAR WADHAWAN WADHAWAN</t>
  </si>
  <si>
    <t>vikas Limited</t>
  </si>
  <si>
    <t>Crif pvt ltd</t>
  </si>
  <si>
    <t>AABCV2179A</t>
  </si>
  <si>
    <t>AABCVXXXA</t>
  </si>
  <si>
    <t>No. 004,</t>
  </si>
  <si>
    <t>17891</t>
  </si>
  <si>
    <t>17892</t>
  </si>
  <si>
    <t xml:space="preserve"> Housing Finance Limited</t>
  </si>
  <si>
    <t xml:space="preserve">2nd Floor, No. 3, JVT TOWERS, 8TH </t>
  </si>
  <si>
    <t xml:space="preserve">A/1, SHITALA KRUPA, </t>
  </si>
  <si>
    <t>5</t>
  </si>
  <si>
    <t>6</t>
  </si>
  <si>
    <t>HD|NB69080006||31032017|31032017|01|</t>
  </si>
  <si>
    <t>TS|1|1|</t>
  </si>
  <si>
    <t>Non Mandatory: CD,GS,SS</t>
  </si>
  <si>
    <t>Mandatory: HD,BS,AS,CR,TS, 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</si>
</sst>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[$-409]dd/mmm/yy;@"/>
    <numFmt numFmtId="166" formatCode="[$-409]d\-mmm\-yy;@"/>
    <numFmt numFmtId="167" formatCode="_(* #,##0_);_(* \(#,##0\);_(* &quot;-&quot;??_);_(@_)"/>
    <numFmt numFmtId="168" formatCode="m/d;@"/>
  </numFmts>
  <fonts count="1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name val="Calibri"/>
      <family val="2"/>
    </font>
    <font>
      <sz val="11"/>
      <color indexed="8"/>
      <name val="Calibri"/>
      <family val="2"/>
    </font>
    <font>
      <sz val="10"/>
      <color rgb="FF222222"/>
      <name val="Arial"/>
      <family val="2"/>
    </font>
    <font>
      <sz val="11"/>
      <color rgb="FF000000"/>
      <name val="Calibri"/>
      <family val="2"/>
      <scheme val="minor"/>
    </font>
    <font>
      <sz val="11"/>
      <color rgb="FF1F497D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Times New Roman"/>
      <family val="1"/>
    </font>
    <font>
      <sz val="10"/>
      <color rgb="FF1D1D1C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sz val="10"/>
      <color rgb="FF000000"/>
      <name val="Times New Roman"/>
      <family val="1"/>
    </font>
    <font>
      <b/>
      <sz val="10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164" fontId="9" fillId="0" borderId="0" applyFont="0" applyFill="0" applyBorder="0" applyAlignment="0" applyProtection="0"/>
  </cellStyleXfs>
  <cellXfs count="96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49" fontId="2" fillId="0" borderId="1" xfId="0" applyNumberFormat="1" applyFont="1" applyBorder="1"/>
    <xf numFmtId="0" fontId="0" fillId="0" borderId="2" xfId="0" applyBorder="1"/>
    <xf numFmtId="49" fontId="0" fillId="0" borderId="0" xfId="0" applyNumberFormat="1"/>
    <xf numFmtId="0" fontId="1" fillId="0" borderId="1" xfId="0" applyFont="1" applyBorder="1"/>
    <xf numFmtId="0" fontId="1" fillId="2" borderId="1" xfId="0" applyFont="1" applyFill="1" applyBorder="1"/>
    <xf numFmtId="49" fontId="3" fillId="0" borderId="1" xfId="0" applyNumberFormat="1" applyFont="1" applyBorder="1"/>
    <xf numFmtId="0" fontId="4" fillId="0" borderId="1" xfId="0" applyFont="1" applyBorder="1"/>
    <xf numFmtId="49" fontId="3" fillId="0" borderId="1" xfId="2" applyNumberFormat="1" applyFont="1" applyBorder="1"/>
    <xf numFmtId="49" fontId="4" fillId="0" borderId="1" xfId="0" applyNumberFormat="1" applyFont="1" applyBorder="1"/>
    <xf numFmtId="0" fontId="4" fillId="0" borderId="0" xfId="0" applyFont="1"/>
    <xf numFmtId="0" fontId="1" fillId="3" borderId="1" xfId="0" applyFont="1" applyFill="1" applyBorder="1"/>
    <xf numFmtId="49" fontId="1" fillId="0" borderId="1" xfId="0" applyNumberFormat="1" applyFont="1" applyBorder="1"/>
    <xf numFmtId="0" fontId="1" fillId="0" borderId="0" xfId="0" applyFont="1"/>
    <xf numFmtId="0" fontId="1" fillId="0" borderId="1" xfId="0" applyFont="1" applyBorder="1" applyAlignment="1">
      <alignment wrapText="1"/>
    </xf>
    <xf numFmtId="0" fontId="0" fillId="0" borderId="3" xfId="0" applyBorder="1"/>
    <xf numFmtId="49" fontId="0" fillId="0" borderId="1" xfId="0" applyNumberFormat="1" applyBorder="1" applyAlignment="1">
      <alignment vertical="center"/>
    </xf>
    <xf numFmtId="49" fontId="0" fillId="0" borderId="1" xfId="0" applyNumberFormat="1" applyBorder="1"/>
    <xf numFmtId="49" fontId="0" fillId="0" borderId="1" xfId="0" quotePrefix="1" applyNumberFormat="1" applyBorder="1"/>
    <xf numFmtId="49" fontId="6" fillId="0" borderId="1" xfId="0" applyNumberFormat="1" applyFont="1" applyBorder="1"/>
    <xf numFmtId="1" fontId="4" fillId="0" borderId="1" xfId="0" applyNumberFormat="1" applyFont="1" applyBorder="1"/>
    <xf numFmtId="1" fontId="3" fillId="0" borderId="1" xfId="0" applyNumberFormat="1" applyFont="1" applyBorder="1"/>
    <xf numFmtId="49" fontId="7" fillId="0" borderId="1" xfId="0" applyNumberFormat="1" applyFont="1" applyBorder="1"/>
    <xf numFmtId="1" fontId="2" fillId="0" borderId="1" xfId="0" applyNumberFormat="1" applyFont="1" applyBorder="1"/>
    <xf numFmtId="0" fontId="1" fillId="5" borderId="1" xfId="0" applyFont="1" applyFill="1" applyBorder="1"/>
    <xf numFmtId="0" fontId="0" fillId="5" borderId="1" xfId="0" applyFill="1" applyBorder="1"/>
    <xf numFmtId="0" fontId="0" fillId="0" borderId="1" xfId="0" applyBorder="1" applyAlignment="1">
      <alignment wrapText="1"/>
    </xf>
    <xf numFmtId="49" fontId="3" fillId="0" borderId="0" xfId="0" quotePrefix="1" applyNumberFormat="1" applyFont="1"/>
    <xf numFmtId="0" fontId="4" fillId="0" borderId="0" xfId="0" quotePrefix="1" applyFont="1"/>
    <xf numFmtId="0" fontId="0" fillId="0" borderId="4" xfId="0" applyBorder="1"/>
    <xf numFmtId="0" fontId="0" fillId="5" borderId="4" xfId="0" applyFill="1" applyBorder="1"/>
    <xf numFmtId="0" fontId="0" fillId="2" borderId="4" xfId="0" applyFill="1" applyBorder="1"/>
    <xf numFmtId="0" fontId="0" fillId="4" borderId="4" xfId="0" applyFill="1" applyBorder="1"/>
    <xf numFmtId="0" fontId="0" fillId="3" borderId="4" xfId="0" applyFill="1" applyBorder="1"/>
    <xf numFmtId="0" fontId="0" fillId="0" borderId="6" xfId="0" applyBorder="1"/>
    <xf numFmtId="0" fontId="0" fillId="0" borderId="7" xfId="0" applyBorder="1"/>
    <xf numFmtId="0" fontId="0" fillId="0" borderId="0" xfId="0" applyAlignment="1">
      <alignment wrapText="1"/>
    </xf>
    <xf numFmtId="0" fontId="8" fillId="0" borderId="1" xfId="0" applyFont="1" applyBorder="1"/>
    <xf numFmtId="0" fontId="8" fillId="0" borderId="0" xfId="0" applyFont="1"/>
    <xf numFmtId="0" fontId="0" fillId="0" borderId="9" xfId="0" applyBorder="1"/>
    <xf numFmtId="49" fontId="3" fillId="0" borderId="1" xfId="3" applyNumberFormat="1" applyFont="1" applyFill="1" applyBorder="1"/>
    <xf numFmtId="14" fontId="3" fillId="0" borderId="1" xfId="3" quotePrefix="1" applyNumberFormat="1" applyFont="1" applyFill="1" applyBorder="1"/>
    <xf numFmtId="165" fontId="0" fillId="0" borderId="1" xfId="0" applyNumberFormat="1" applyBorder="1"/>
    <xf numFmtId="0" fontId="3" fillId="0" borderId="1" xfId="2" applyNumberFormat="1" applyFont="1" applyBorder="1"/>
    <xf numFmtId="165" fontId="3" fillId="0" borderId="1" xfId="2" applyNumberFormat="1" applyFont="1" applyBorder="1"/>
    <xf numFmtId="49" fontId="3" fillId="0" borderId="8" xfId="2" applyNumberFormat="1" applyFont="1" applyBorder="1"/>
    <xf numFmtId="49" fontId="1" fillId="0" borderId="1" xfId="0" applyNumberFormat="1" applyFont="1" applyBorder="1" applyAlignment="1">
      <alignment horizontal="center"/>
    </xf>
    <xf numFmtId="0" fontId="4" fillId="0" borderId="8" xfId="0" applyFont="1" applyBorder="1"/>
    <xf numFmtId="0" fontId="1" fillId="0" borderId="8" xfId="0" applyFont="1" applyBorder="1"/>
    <xf numFmtId="49" fontId="3" fillId="0" borderId="1" xfId="0" quotePrefix="1" applyNumberFormat="1" applyFont="1" applyBorder="1"/>
    <xf numFmtId="0" fontId="5" fillId="0" borderId="1" xfId="0" applyFont="1" applyBorder="1"/>
    <xf numFmtId="166" fontId="10" fillId="0" borderId="1" xfId="0" applyNumberFormat="1" applyFont="1" applyBorder="1" applyAlignment="1">
      <alignment horizontal="center"/>
    </xf>
    <xf numFmtId="167" fontId="0" fillId="0" borderId="1" xfId="4" applyNumberFormat="1" applyFont="1" applyFill="1" applyBorder="1" applyAlignment="1">
      <alignment wrapText="1"/>
    </xf>
    <xf numFmtId="15" fontId="10" fillId="0" borderId="1" xfId="0" applyNumberFormat="1" applyFont="1" applyBorder="1" applyAlignment="1">
      <alignment horizontal="center"/>
    </xf>
    <xf numFmtId="167" fontId="10" fillId="0" borderId="1" xfId="4" applyNumberFormat="1" applyFont="1" applyFill="1" applyBorder="1" applyAlignment="1">
      <alignment horizontal="center"/>
    </xf>
    <xf numFmtId="167" fontId="3" fillId="0" borderId="1" xfId="4" applyNumberFormat="1" applyFont="1" applyFill="1" applyBorder="1"/>
    <xf numFmtId="1" fontId="3" fillId="6" borderId="1" xfId="0" applyNumberFormat="1" applyFont="1" applyFill="1" applyBorder="1"/>
    <xf numFmtId="165" fontId="10" fillId="0" borderId="1" xfId="0" applyNumberFormat="1" applyFont="1" applyBorder="1"/>
    <xf numFmtId="1" fontId="2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8" fillId="2" borderId="1" xfId="0" applyFont="1" applyFill="1" applyBorder="1"/>
    <xf numFmtId="0" fontId="8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1" fillId="0" borderId="0" xfId="0" applyFont="1"/>
    <xf numFmtId="0" fontId="11" fillId="0" borderId="1" xfId="0" applyFont="1" applyBorder="1"/>
    <xf numFmtId="0" fontId="12" fillId="0" borderId="1" xfId="0" applyFont="1" applyBorder="1"/>
    <xf numFmtId="49" fontId="11" fillId="0" borderId="1" xfId="0" applyNumberFormat="1" applyFont="1" applyBorder="1"/>
    <xf numFmtId="0" fontId="12" fillId="0" borderId="1" xfId="0" applyFont="1" applyBorder="1" applyAlignment="1">
      <alignment horizontal="center" vertical="center"/>
    </xf>
    <xf numFmtId="0" fontId="14" fillId="0" borderId="1" xfId="0" applyFont="1" applyBorder="1"/>
    <xf numFmtId="49" fontId="11" fillId="0" borderId="1" xfId="0" quotePrefix="1" applyNumberFormat="1" applyFont="1" applyBorder="1"/>
    <xf numFmtId="49" fontId="13" fillId="0" borderId="1" xfId="0" applyNumberFormat="1" applyFont="1" applyBorder="1"/>
    <xf numFmtId="49" fontId="15" fillId="0" borderId="1" xfId="0" applyNumberFormat="1" applyFont="1" applyBorder="1"/>
    <xf numFmtId="0" fontId="11" fillId="0" borderId="1" xfId="0" quotePrefix="1" applyFont="1" applyBorder="1"/>
    <xf numFmtId="0" fontId="12" fillId="0" borderId="1" xfId="0" quotePrefix="1" applyFont="1" applyBorder="1"/>
    <xf numFmtId="14" fontId="11" fillId="0" borderId="1" xfId="0" applyNumberFormat="1" applyFont="1" applyBorder="1"/>
    <xf numFmtId="0" fontId="16" fillId="5" borderId="1" xfId="0" applyFont="1" applyFill="1" applyBorder="1" applyAlignment="1">
      <alignment horizontal="center"/>
    </xf>
    <xf numFmtId="0" fontId="11" fillId="5" borderId="1" xfId="0" applyFont="1" applyFill="1" applyBorder="1"/>
    <xf numFmtId="0" fontId="1" fillId="0" borderId="1" xfId="0" applyFont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5" fillId="0" borderId="1" xfId="0" applyNumberFormat="1" applyFont="1" applyBorder="1"/>
    <xf numFmtId="0" fontId="1" fillId="4" borderId="1" xfId="0" applyFont="1" applyFill="1" applyBorder="1"/>
    <xf numFmtId="0" fontId="16" fillId="0" borderId="1" xfId="0" applyFont="1" applyBorder="1" applyAlignment="1">
      <alignment horizontal="center"/>
    </xf>
    <xf numFmtId="168" fontId="1" fillId="2" borderId="1" xfId="0" applyNumberFormat="1" applyFont="1" applyFill="1" applyBorder="1"/>
    <xf numFmtId="168" fontId="10" fillId="0" borderId="1" xfId="0" applyNumberFormat="1" applyFont="1" applyBorder="1" applyAlignment="1">
      <alignment horizontal="center"/>
    </xf>
    <xf numFmtId="168" fontId="4" fillId="0" borderId="0" xfId="0" applyNumberFormat="1" applyFont="1"/>
    <xf numFmtId="0" fontId="8" fillId="0" borderId="0" xfId="0" applyFont="1" applyAlignment="1">
      <alignment horizontal="center" wrapText="1"/>
    </xf>
    <xf numFmtId="0" fontId="8" fillId="0" borderId="5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5">
    <cellStyle name="Comma" xfId="4" builtinId="3"/>
    <cellStyle name="Comma 2" xfId="1" xr:uid="{00000000-0005-0000-0000-000001000000}"/>
    <cellStyle name="Normal" xfId="0" builtinId="0"/>
    <cellStyle name="Normal 2" xfId="2" xr:uid="{00000000-0005-0000-0000-000003000000}"/>
    <cellStyle name="Normal 3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showGridLines="0" tabSelected="1" zoomScaleNormal="100" workbookViewId="0">
      <selection activeCell="B8" sqref="B8"/>
    </sheetView>
  </sheetViews>
  <sheetFormatPr defaultRowHeight="14.5" x14ac:dyDescent="0.35"/>
  <cols>
    <col min="1" max="1" width="24.1796875" customWidth="1"/>
    <col min="2" max="2" width="42.26953125" customWidth="1"/>
    <col min="4" max="4" width="22.7265625" customWidth="1"/>
    <col min="5" max="5" width="40.81640625" customWidth="1"/>
  </cols>
  <sheetData>
    <row r="1" spans="1:5" x14ac:dyDescent="0.35">
      <c r="A1" t="s">
        <v>125</v>
      </c>
    </row>
    <row r="2" spans="1:5" x14ac:dyDescent="0.35">
      <c r="A2" s="1"/>
      <c r="B2" s="2" t="s">
        <v>116</v>
      </c>
    </row>
    <row r="3" spans="1:5" x14ac:dyDescent="0.35">
      <c r="A3" s="3"/>
      <c r="B3" s="2" t="s">
        <v>118</v>
      </c>
    </row>
    <row r="4" spans="1:5" x14ac:dyDescent="0.35">
      <c r="A4" s="4"/>
      <c r="B4" s="2" t="s">
        <v>117</v>
      </c>
    </row>
    <row r="5" spans="1:5" x14ac:dyDescent="0.35">
      <c r="A5" s="2"/>
      <c r="B5" s="2" t="s">
        <v>120</v>
      </c>
    </row>
    <row r="7" spans="1:5" x14ac:dyDescent="0.35">
      <c r="A7" s="2">
        <v>1</v>
      </c>
      <c r="B7" s="2" t="s">
        <v>247</v>
      </c>
    </row>
    <row r="8" spans="1:5" x14ac:dyDescent="0.35">
      <c r="A8" s="2">
        <v>2</v>
      </c>
      <c r="B8" s="2" t="s">
        <v>246</v>
      </c>
    </row>
    <row r="9" spans="1:5" ht="29" x14ac:dyDescent="0.35">
      <c r="A9" s="2">
        <v>3</v>
      </c>
      <c r="B9" s="30" t="s">
        <v>154</v>
      </c>
    </row>
    <row r="10" spans="1:5" ht="29" x14ac:dyDescent="0.35">
      <c r="A10" s="41">
        <v>4</v>
      </c>
      <c r="B10" s="30" t="s">
        <v>166</v>
      </c>
    </row>
    <row r="11" spans="1:5" x14ac:dyDescent="0.35">
      <c r="B11" s="40"/>
    </row>
    <row r="12" spans="1:5" x14ac:dyDescent="0.35">
      <c r="A12" s="94" t="s">
        <v>153</v>
      </c>
      <c r="B12" s="95"/>
      <c r="D12" s="91" t="s">
        <v>155</v>
      </c>
      <c r="E12" s="92"/>
    </row>
    <row r="13" spans="1:5" ht="29" x14ac:dyDescent="0.35">
      <c r="A13" s="30" t="s">
        <v>149</v>
      </c>
      <c r="B13" s="41" t="s">
        <v>150</v>
      </c>
      <c r="D13" s="2" t="s">
        <v>8</v>
      </c>
      <c r="E13" s="2" t="s">
        <v>161</v>
      </c>
    </row>
    <row r="14" spans="1:5" ht="58" x14ac:dyDescent="0.35">
      <c r="A14" s="30" t="s">
        <v>151</v>
      </c>
      <c r="B14" s="30" t="s">
        <v>156</v>
      </c>
      <c r="D14" s="2" t="s">
        <v>157</v>
      </c>
      <c r="E14" s="2" t="s">
        <v>158</v>
      </c>
    </row>
    <row r="15" spans="1:5" ht="72.5" x14ac:dyDescent="0.35">
      <c r="A15" s="2" t="s">
        <v>4</v>
      </c>
      <c r="B15" s="2" t="s">
        <v>152</v>
      </c>
      <c r="D15" s="30" t="s">
        <v>159</v>
      </c>
      <c r="E15" s="41" t="s">
        <v>160</v>
      </c>
    </row>
    <row r="16" spans="1:5" x14ac:dyDescent="0.35">
      <c r="D16" s="40"/>
      <c r="E16" s="42"/>
    </row>
    <row r="18" spans="1:5" x14ac:dyDescent="0.35">
      <c r="A18" s="94" t="s">
        <v>162</v>
      </c>
      <c r="B18" s="94"/>
      <c r="D18" s="91" t="s">
        <v>165</v>
      </c>
      <c r="E18" s="93"/>
    </row>
    <row r="19" spans="1:5" ht="43.5" x14ac:dyDescent="0.35">
      <c r="A19" s="30" t="s">
        <v>163</v>
      </c>
      <c r="B19" s="41" t="s">
        <v>160</v>
      </c>
      <c r="D19" s="30" t="s">
        <v>167</v>
      </c>
      <c r="E19" s="41" t="s">
        <v>160</v>
      </c>
    </row>
    <row r="20" spans="1:5" x14ac:dyDescent="0.35">
      <c r="A20" s="2" t="s">
        <v>34</v>
      </c>
      <c r="B20" s="2" t="s">
        <v>164</v>
      </c>
      <c r="D20" s="2" t="s">
        <v>53</v>
      </c>
      <c r="E20" s="2" t="s">
        <v>168</v>
      </c>
    </row>
    <row r="21" spans="1:5" x14ac:dyDescent="0.35">
      <c r="D21" s="2" t="s">
        <v>34</v>
      </c>
      <c r="E21" s="2" t="s">
        <v>164</v>
      </c>
    </row>
    <row r="23" spans="1:5" x14ac:dyDescent="0.35">
      <c r="A23" s="91" t="s">
        <v>169</v>
      </c>
      <c r="B23" s="93"/>
      <c r="D23" s="91" t="s">
        <v>178</v>
      </c>
      <c r="E23" s="93"/>
    </row>
    <row r="24" spans="1:5" ht="43.5" x14ac:dyDescent="0.35">
      <c r="A24" s="2" t="s">
        <v>170</v>
      </c>
      <c r="B24" s="2" t="s">
        <v>171</v>
      </c>
      <c r="D24" s="30" t="s">
        <v>179</v>
      </c>
      <c r="E24" s="41" t="s">
        <v>160</v>
      </c>
    </row>
    <row r="25" spans="1:5" ht="43.5" x14ac:dyDescent="0.35">
      <c r="A25" s="30" t="s">
        <v>172</v>
      </c>
      <c r="B25" s="2" t="s">
        <v>173</v>
      </c>
      <c r="D25" s="2" t="s">
        <v>34</v>
      </c>
      <c r="E25" s="2" t="s">
        <v>164</v>
      </c>
    </row>
    <row r="26" spans="1:5" ht="58" x14ac:dyDescent="0.35">
      <c r="A26" s="30" t="s">
        <v>177</v>
      </c>
      <c r="B26" s="41" t="s">
        <v>160</v>
      </c>
    </row>
    <row r="27" spans="1:5" x14ac:dyDescent="0.35">
      <c r="A27" s="2" t="s">
        <v>70</v>
      </c>
      <c r="B27" s="2" t="s">
        <v>210</v>
      </c>
    </row>
    <row r="28" spans="1:5" ht="43.5" x14ac:dyDescent="0.35">
      <c r="A28" s="30" t="s">
        <v>174</v>
      </c>
      <c r="B28" s="2" t="s">
        <v>175</v>
      </c>
    </row>
    <row r="29" spans="1:5" ht="29" x14ac:dyDescent="0.35">
      <c r="A29" s="30" t="s">
        <v>176</v>
      </c>
      <c r="B29" s="2" t="s">
        <v>175</v>
      </c>
    </row>
    <row r="32" spans="1:5" x14ac:dyDescent="0.35">
      <c r="A32" s="91" t="s">
        <v>180</v>
      </c>
      <c r="B32" s="93"/>
      <c r="D32" s="91" t="s">
        <v>182</v>
      </c>
      <c r="E32" s="93"/>
    </row>
    <row r="33" spans="1:5" ht="29" x14ac:dyDescent="0.35">
      <c r="A33" s="2" t="s">
        <v>101</v>
      </c>
      <c r="B33" s="2" t="s">
        <v>175</v>
      </c>
      <c r="D33" s="2" t="s">
        <v>106</v>
      </c>
      <c r="E33" s="30" t="s">
        <v>183</v>
      </c>
    </row>
    <row r="34" spans="1:5" ht="43.5" x14ac:dyDescent="0.35">
      <c r="A34" s="30" t="s">
        <v>181</v>
      </c>
      <c r="B34" s="41" t="s">
        <v>160</v>
      </c>
      <c r="D34" s="2" t="s">
        <v>107</v>
      </c>
      <c r="E34" s="2" t="s">
        <v>184</v>
      </c>
    </row>
    <row r="35" spans="1:5" ht="29" x14ac:dyDescent="0.35">
      <c r="D35" s="30" t="s">
        <v>185</v>
      </c>
      <c r="E35" s="2" t="s">
        <v>187</v>
      </c>
    </row>
    <row r="36" spans="1:5" ht="29" x14ac:dyDescent="0.35">
      <c r="A36" s="91" t="s">
        <v>189</v>
      </c>
      <c r="B36" s="92"/>
      <c r="D36" s="30" t="s">
        <v>186</v>
      </c>
      <c r="E36" s="30" t="s">
        <v>188</v>
      </c>
    </row>
    <row r="37" spans="1:5" ht="29" x14ac:dyDescent="0.35">
      <c r="A37" s="30" t="s">
        <v>190</v>
      </c>
      <c r="B37" s="2" t="s">
        <v>191</v>
      </c>
      <c r="D37" s="2" t="s">
        <v>111</v>
      </c>
      <c r="E37" s="41" t="s">
        <v>160</v>
      </c>
    </row>
    <row r="38" spans="1:5" ht="29" x14ac:dyDescent="0.35">
      <c r="A38" s="30" t="s">
        <v>192</v>
      </c>
      <c r="B38" s="2" t="s">
        <v>193</v>
      </c>
    </row>
    <row r="42" spans="1:5" ht="90" customHeight="1" x14ac:dyDescent="0.35">
      <c r="A42" s="90" t="s">
        <v>211</v>
      </c>
      <c r="B42" s="90"/>
      <c r="C42" s="90"/>
      <c r="D42" s="90"/>
    </row>
  </sheetData>
  <mergeCells count="10">
    <mergeCell ref="A42:D42"/>
    <mergeCell ref="A36:B36"/>
    <mergeCell ref="D12:E12"/>
    <mergeCell ref="D18:E18"/>
    <mergeCell ref="D23:E23"/>
    <mergeCell ref="A32:B32"/>
    <mergeCell ref="D32:E32"/>
    <mergeCell ref="A12:B12"/>
    <mergeCell ref="A18:B18"/>
    <mergeCell ref="A23:B23"/>
  </mergeCells>
  <phoneticPr fontId="0" type="noConversion"/>
  <pageMargins left="0.7" right="0.7" top="0.75" bottom="0.75" header="0.3" footer="0.3"/>
  <pageSetup scale="58" orientation="portrait" r:id="rId1"/>
  <headerFooter>
    <oddFooter>&amp;C&amp;1#&amp;"Calibri"&amp;14&amp;KFF0000PROPRIETARY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I7"/>
  <sheetViews>
    <sheetView showGridLines="0" topLeftCell="B1" workbookViewId="0">
      <selection activeCell="G1" sqref="G1:H2"/>
    </sheetView>
  </sheetViews>
  <sheetFormatPr defaultColWidth="9.1796875" defaultRowHeight="14.5" x14ac:dyDescent="0.35"/>
  <cols>
    <col min="1" max="1" width="34.81640625" style="14" bestFit="1" customWidth="1"/>
    <col min="2" max="2" width="11.54296875" style="14" bestFit="1" customWidth="1"/>
    <col min="3" max="3" width="19.26953125" style="14" bestFit="1" customWidth="1"/>
    <col min="4" max="4" width="40.81640625" style="14" bestFit="1" customWidth="1"/>
    <col min="5" max="5" width="21" style="14" bestFit="1" customWidth="1"/>
    <col min="6" max="6" width="16.453125" style="14" bestFit="1" customWidth="1"/>
    <col min="7" max="7" width="5.54296875" style="14" bestFit="1" customWidth="1"/>
    <col min="8" max="8" width="39.1796875" style="14" bestFit="1" customWidth="1"/>
    <col min="9" max="16384" width="9.1796875" style="14"/>
  </cols>
  <sheetData>
    <row r="1" spans="1:9" s="17" customFormat="1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2" t="s">
        <v>139</v>
      </c>
      <c r="I1" s="8"/>
    </row>
    <row r="2" spans="1:9" x14ac:dyDescent="0.35">
      <c r="A2" s="44" t="s">
        <v>213</v>
      </c>
      <c r="B2" s="20" t="s">
        <v>217</v>
      </c>
      <c r="C2" s="44"/>
      <c r="D2" s="45" t="s">
        <v>229</v>
      </c>
      <c r="E2" s="45" t="s">
        <v>229</v>
      </c>
      <c r="F2" s="16" t="s">
        <v>138</v>
      </c>
      <c r="G2" s="11"/>
      <c r="H2" s="11" t="str">
        <f>CONCATENATE(A2,"|",B2,"|",C2,"|",D2,"|",E2,"|",F2,"|")</f>
        <v>HD|NB69080006||31032017|31032017|01|</v>
      </c>
      <c r="I2" s="11"/>
    </row>
    <row r="3" spans="1:9" x14ac:dyDescent="0.35">
      <c r="A3" s="44" t="s">
        <v>126</v>
      </c>
      <c r="B3" s="11"/>
      <c r="C3" s="11"/>
      <c r="D3" s="11"/>
      <c r="E3" s="11"/>
      <c r="F3" s="11"/>
      <c r="G3" s="11"/>
      <c r="H3" s="11"/>
      <c r="I3" s="11"/>
    </row>
    <row r="7" spans="1:9" x14ac:dyDescent="0.35">
      <c r="A7" s="17"/>
    </row>
  </sheetData>
  <phoneticPr fontId="0" type="noConversion"/>
  <pageMargins left="0.7" right="0.7" top="0.75" bottom="0.75" header="0.3" footer="0.3"/>
  <pageSetup orientation="portrait" r:id="rId1"/>
  <headerFooter>
    <oddFooter>&amp;C&amp;1#&amp;"Calibri"&amp;14&amp;KFF0000PROPRIETARY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F3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:B10"/>
    </sheetView>
  </sheetViews>
  <sheetFormatPr defaultRowHeight="14.5" x14ac:dyDescent="0.35"/>
  <cols>
    <col min="1" max="1" width="7.54296875" bestFit="1" customWidth="1"/>
    <col min="2" max="2" width="4.54296875" bestFit="1" customWidth="1"/>
    <col min="3" max="3" width="18" bestFit="1" customWidth="1"/>
    <col min="4" max="4" width="20.26953125" bestFit="1" customWidth="1"/>
    <col min="5" max="5" width="28.7265625" bestFit="1" customWidth="1"/>
    <col min="6" max="6" width="61" bestFit="1" customWidth="1"/>
    <col min="7" max="7" width="20.453125" customWidth="1"/>
    <col min="8" max="8" width="28.7265625" customWidth="1"/>
    <col min="9" max="9" width="20.1796875" style="7" customWidth="1"/>
    <col min="10" max="10" width="13.54296875" bestFit="1" customWidth="1"/>
    <col min="11" max="11" width="24.54296875" bestFit="1" customWidth="1"/>
    <col min="12" max="12" width="5.54296875" bestFit="1" customWidth="1"/>
    <col min="13" max="13" width="12.26953125" bestFit="1" customWidth="1"/>
    <col min="14" max="14" width="8.453125" customWidth="1"/>
    <col min="15" max="15" width="27.1796875" customWidth="1"/>
    <col min="16" max="16" width="17.26953125" customWidth="1"/>
    <col min="17" max="17" width="22.453125" bestFit="1" customWidth="1"/>
    <col min="18" max="20" width="16.453125" bestFit="1" customWidth="1"/>
    <col min="21" max="21" width="8.7265625" bestFit="1" customWidth="1"/>
    <col min="22" max="22" width="11.54296875" bestFit="1" customWidth="1"/>
    <col min="23" max="23" width="13.26953125" bestFit="1" customWidth="1"/>
    <col min="24" max="24" width="21" bestFit="1" customWidth="1"/>
    <col min="25" max="25" width="12.453125" bestFit="1" customWidth="1"/>
    <col min="26" max="26" width="29.1796875" bestFit="1" customWidth="1"/>
    <col min="27" max="27" width="18.26953125" bestFit="1" customWidth="1"/>
    <col min="28" max="28" width="23.26953125" bestFit="1" customWidth="1"/>
    <col min="29" max="29" width="5.54296875" bestFit="1" customWidth="1"/>
    <col min="30" max="30" width="20.6328125" customWidth="1"/>
    <col min="31" max="31" width="27.81640625" bestFit="1" customWidth="1"/>
    <col min="32" max="32" width="20.6328125" customWidth="1"/>
  </cols>
  <sheetData>
    <row r="1" spans="1:32" x14ac:dyDescent="0.35">
      <c r="A1" s="28" t="s">
        <v>131</v>
      </c>
      <c r="B1" s="28" t="s">
        <v>132</v>
      </c>
      <c r="C1" s="9" t="s">
        <v>7</v>
      </c>
      <c r="D1" s="9" t="s">
        <v>8</v>
      </c>
      <c r="E1" s="15" t="s">
        <v>9</v>
      </c>
      <c r="F1" s="9" t="s">
        <v>10</v>
      </c>
      <c r="G1" s="8" t="s">
        <v>11</v>
      </c>
      <c r="H1" s="8" t="s">
        <v>12</v>
      </c>
      <c r="I1" s="8" t="s">
        <v>13</v>
      </c>
      <c r="J1" s="8" t="s">
        <v>14</v>
      </c>
      <c r="K1" s="8" t="s">
        <v>15</v>
      </c>
      <c r="L1" s="8" t="s">
        <v>16</v>
      </c>
      <c r="M1" s="8" t="s">
        <v>17</v>
      </c>
      <c r="N1" s="8" t="s">
        <v>18</v>
      </c>
      <c r="O1" s="9" t="s">
        <v>115</v>
      </c>
      <c r="P1" s="9" t="s">
        <v>19</v>
      </c>
      <c r="Q1" s="9" t="s">
        <v>20</v>
      </c>
      <c r="R1" s="15" t="s">
        <v>21</v>
      </c>
      <c r="S1" s="8" t="s">
        <v>22</v>
      </c>
      <c r="T1" s="8" t="s">
        <v>23</v>
      </c>
      <c r="U1" s="8" t="s">
        <v>24</v>
      </c>
      <c r="V1" s="8" t="s">
        <v>25</v>
      </c>
      <c r="W1" s="8" t="s">
        <v>26</v>
      </c>
      <c r="X1" s="8" t="s">
        <v>27</v>
      </c>
      <c r="Y1" s="8" t="s">
        <v>28</v>
      </c>
      <c r="Z1" s="15" t="s">
        <v>29</v>
      </c>
      <c r="AA1" s="8" t="s">
        <v>30</v>
      </c>
      <c r="AB1" s="8" t="s">
        <v>31</v>
      </c>
      <c r="AC1" s="8" t="s">
        <v>6</v>
      </c>
      <c r="AD1" s="52" t="s">
        <v>137</v>
      </c>
      <c r="AE1" s="8" t="s">
        <v>137</v>
      </c>
      <c r="AF1" s="2" t="s">
        <v>139</v>
      </c>
    </row>
    <row r="2" spans="1:32" x14ac:dyDescent="0.35">
      <c r="A2" s="20" t="s">
        <v>237</v>
      </c>
      <c r="B2" s="13">
        <v>1</v>
      </c>
      <c r="C2" s="10" t="s">
        <v>127</v>
      </c>
      <c r="D2" s="10"/>
      <c r="E2" s="8"/>
      <c r="F2" s="12" t="s">
        <v>232</v>
      </c>
      <c r="G2" s="46"/>
      <c r="H2" s="47">
        <v>5824</v>
      </c>
      <c r="I2" s="48"/>
      <c r="J2" s="47" t="s">
        <v>234</v>
      </c>
      <c r="K2" s="47"/>
      <c r="L2" s="47"/>
      <c r="M2" s="47"/>
      <c r="N2" s="11"/>
      <c r="O2" s="50" t="s">
        <v>219</v>
      </c>
      <c r="P2" s="49" t="s">
        <v>140</v>
      </c>
      <c r="Q2" s="13">
        <v>11</v>
      </c>
      <c r="R2" s="16"/>
      <c r="S2" s="11"/>
      <c r="T2" s="11"/>
      <c r="U2" s="11"/>
      <c r="V2" s="11"/>
      <c r="W2" s="11"/>
      <c r="X2" s="11"/>
      <c r="Y2" s="11" t="s">
        <v>221</v>
      </c>
      <c r="Z2" s="11" t="s">
        <v>222</v>
      </c>
      <c r="AA2" s="11"/>
      <c r="AB2" s="11"/>
      <c r="AC2" s="11"/>
      <c r="AD2" s="51" t="str">
        <f>CONCATENATE(C2,"|",D2,"|",E2,"|",F2,"|",G2,"|",H2,"|",I2,"|",J2,"|",K2,"|",L2,"|",M2,"|",N2,"|",O2,"|",P2,"|",Q2,"|")</f>
        <v>BS|||vikas Limited||5824||AABCV2179A|||||12|07|11|</v>
      </c>
      <c r="AE2" s="2" t="str">
        <f>CONCATENATE(R2,"|",S2,"|",T2,"|",U2,"|",V2,"|",W2,"|",X2,"|",Y2,"|",Z2,"|",AA2,"|",AB2,"|",AC2,"|")</f>
        <v>|||||||BBB-|ICRA||||</v>
      </c>
      <c r="AF2" s="2" t="str">
        <f>CONCATENATE(AD2,AE2)</f>
        <v>BS|||vikas Limited||5824||AABCV2179A|||||12|07|11||||||||BBB-|ICRA||||</v>
      </c>
    </row>
    <row r="3" spans="1:32" x14ac:dyDescent="0.35">
      <c r="A3" s="53" t="s">
        <v>238</v>
      </c>
      <c r="B3" s="13">
        <v>1</v>
      </c>
      <c r="C3" s="10" t="s">
        <v>127</v>
      </c>
      <c r="D3" s="10"/>
      <c r="E3" s="8"/>
      <c r="F3" s="12" t="s">
        <v>233</v>
      </c>
      <c r="G3" s="46"/>
      <c r="H3" s="47">
        <v>231</v>
      </c>
      <c r="I3" s="48"/>
      <c r="J3" s="47" t="s">
        <v>235</v>
      </c>
      <c r="K3" s="47"/>
      <c r="L3" s="47"/>
      <c r="M3" s="47"/>
      <c r="N3" s="11"/>
      <c r="O3" s="50" t="s">
        <v>219</v>
      </c>
      <c r="P3" s="49" t="s">
        <v>140</v>
      </c>
      <c r="Q3" s="13">
        <v>11</v>
      </c>
      <c r="R3" s="11"/>
      <c r="S3" s="11"/>
      <c r="T3" s="11"/>
      <c r="U3" s="11"/>
      <c r="V3" s="11"/>
      <c r="W3" s="11"/>
      <c r="X3" s="11"/>
      <c r="Y3" s="11" t="s">
        <v>223</v>
      </c>
      <c r="Z3" s="11" t="s">
        <v>220</v>
      </c>
      <c r="AA3" s="11"/>
      <c r="AB3" s="11"/>
      <c r="AC3" s="11"/>
      <c r="AD3" s="51" t="str">
        <f t="shared" ref="AD3" si="0">CONCATENATE(C3,"|",D3,"|",E3,"|",F3,"|",G3,"|",H3,"|",I3,"|",J3,"|",K3,"|",L3,"|",M3,"|",N3,"|",O3,"|",P3,"|",Q3,"|")</f>
        <v>BS|||Crif pvt ltd||231||AABCVXXXA|||||12|07|11|</v>
      </c>
      <c r="AE3" s="2" t="str">
        <f t="shared" ref="AE3" si="1">CONCATENATE(R3,"|",S3,"|",T3,"|",U3,"|",V3,"|",W3,"|",X3,"|",Y3,"|",Z3,"|",AA3,"|",AB3,"|",AC3,"|")</f>
        <v>|||||||Unrated|NA||||</v>
      </c>
      <c r="AF3" s="2" t="str">
        <f t="shared" ref="AF3" si="2">CONCATENATE(AD3,AE3)</f>
        <v>BS|||Crif pvt ltd||231||AABCVXXXA|||||12|07|11||||||||Unrated|NA||||</v>
      </c>
    </row>
  </sheetData>
  <pageMargins left="0.7" right="0.7" top="0.75" bottom="0.75" header="0.3" footer="0.3"/>
  <pageSetup paperSize="9" orientation="portrait" r:id="rId1"/>
  <headerFooter>
    <oddFooter>&amp;C&amp;1#&amp;"Calibri"&amp;14&amp;KFF0000PROPRIETARY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V3"/>
  <sheetViews>
    <sheetView showGridLines="0" workbookViewId="0">
      <pane ySplit="1" topLeftCell="A2" activePane="bottomLeft" state="frozen"/>
      <selection pane="bottomLeft" activeCell="B3" sqref="B3"/>
    </sheetView>
  </sheetViews>
  <sheetFormatPr defaultRowHeight="14.5" x14ac:dyDescent="0.35"/>
  <cols>
    <col min="1" max="1" width="7.54296875" bestFit="1" customWidth="1"/>
    <col min="2" max="2" width="4.54296875" bestFit="1" customWidth="1"/>
    <col min="3" max="3" width="18" bestFit="1" customWidth="1"/>
    <col min="4" max="4" width="28.26953125" bestFit="1" customWidth="1"/>
    <col min="5" max="5" width="28.81640625" bestFit="1" customWidth="1"/>
    <col min="6" max="6" width="48.81640625" bestFit="1" customWidth="1"/>
    <col min="7" max="7" width="48.26953125" bestFit="1" customWidth="1"/>
    <col min="8" max="8" width="37.7265625" bestFit="1" customWidth="1"/>
    <col min="9" max="9" width="29.453125" bestFit="1" customWidth="1"/>
    <col min="10" max="10" width="27.26953125" bestFit="1" customWidth="1"/>
    <col min="11" max="11" width="20.1796875" bestFit="1" customWidth="1"/>
    <col min="12" max="12" width="8.81640625" bestFit="1" customWidth="1"/>
    <col min="13" max="13" width="8" style="7" bestFit="1" customWidth="1"/>
    <col min="14" max="14" width="22.54296875" bestFit="1" customWidth="1"/>
    <col min="15" max="15" width="20.453125" bestFit="1" customWidth="1"/>
    <col min="16" max="16" width="27.453125" bestFit="1" customWidth="1"/>
    <col min="17" max="17" width="13.7265625" bestFit="1" customWidth="1"/>
    <col min="18" max="18" width="14.1796875" bestFit="1" customWidth="1"/>
    <col min="19" max="19" width="5.54296875" bestFit="1" customWidth="1"/>
    <col min="20" max="20" width="20.6328125" customWidth="1"/>
    <col min="21" max="21" width="8.453125" bestFit="1" customWidth="1"/>
    <col min="22" max="22" width="20.6328125" customWidth="1"/>
  </cols>
  <sheetData>
    <row r="1" spans="1:22" x14ac:dyDescent="0.35">
      <c r="A1" s="67" t="s">
        <v>131</v>
      </c>
      <c r="B1" s="67" t="s">
        <v>132</v>
      </c>
      <c r="C1" s="66" t="s">
        <v>7</v>
      </c>
      <c r="D1" s="66" t="s">
        <v>32</v>
      </c>
      <c r="E1" s="85" t="s">
        <v>33</v>
      </c>
      <c r="F1" s="66" t="s">
        <v>34</v>
      </c>
      <c r="G1" s="82" t="s">
        <v>35</v>
      </c>
      <c r="H1" s="82" t="s">
        <v>36</v>
      </c>
      <c r="I1" s="8" t="s">
        <v>37</v>
      </c>
      <c r="J1" s="82" t="s">
        <v>38</v>
      </c>
      <c r="K1" s="8" t="s">
        <v>39</v>
      </c>
      <c r="L1" s="66" t="s">
        <v>40</v>
      </c>
      <c r="M1" s="83" t="s">
        <v>41</v>
      </c>
      <c r="N1" s="82" t="s">
        <v>42</v>
      </c>
      <c r="O1" s="82" t="s">
        <v>43</v>
      </c>
      <c r="P1" s="82" t="s">
        <v>44</v>
      </c>
      <c r="Q1" s="82" t="s">
        <v>45</v>
      </c>
      <c r="R1" s="82" t="s">
        <v>46</v>
      </c>
      <c r="S1" s="82" t="s">
        <v>6</v>
      </c>
      <c r="T1" s="66" t="s">
        <v>137</v>
      </c>
      <c r="U1" s="66" t="s">
        <v>137</v>
      </c>
      <c r="V1" s="66" t="s">
        <v>139</v>
      </c>
    </row>
    <row r="2" spans="1:22" x14ac:dyDescent="0.35">
      <c r="A2" s="20" t="s">
        <v>237</v>
      </c>
      <c r="B2" s="13">
        <v>2</v>
      </c>
      <c r="C2" s="13" t="s">
        <v>128</v>
      </c>
      <c r="D2" s="12" t="s">
        <v>138</v>
      </c>
      <c r="E2" s="12" t="s">
        <v>226</v>
      </c>
      <c r="F2" s="54" t="s">
        <v>236</v>
      </c>
      <c r="G2" s="54"/>
      <c r="H2" s="54"/>
      <c r="I2" s="54"/>
      <c r="J2" s="54"/>
      <c r="K2" s="54">
        <v>20</v>
      </c>
      <c r="L2" s="54">
        <v>400059</v>
      </c>
      <c r="M2" s="84" t="s">
        <v>225</v>
      </c>
      <c r="N2" s="54"/>
      <c r="O2" s="54"/>
      <c r="P2" s="54"/>
      <c r="Q2" s="54"/>
      <c r="R2" s="54"/>
      <c r="S2" s="54"/>
      <c r="T2" s="11" t="str">
        <f>CONCATENATE(C2,"|",D2,"|",E2,"|",F2,"|",G2,"|",H2,"|",I2,"|",J2,"|",K2,"|",L2,"|",M2,"|",N2,"|",O2,"|",P2,"|",Q2,"|")</f>
        <v>AS|01|999999999|No. 004,|||||20|400059|079|||||</v>
      </c>
      <c r="U2" s="2" t="str">
        <f>CONCATENATE(R2,"|",S2,"|")</f>
        <v>||</v>
      </c>
      <c r="V2" s="11" t="str">
        <f>CONCATENATE(T2,U2)</f>
        <v>AS|01|999999999|No. 004,|||||20|400059|079|||||||</v>
      </c>
    </row>
    <row r="3" spans="1:22" x14ac:dyDescent="0.35">
      <c r="A3" s="53" t="s">
        <v>238</v>
      </c>
      <c r="B3" s="13">
        <v>2</v>
      </c>
      <c r="C3" s="13" t="s">
        <v>128</v>
      </c>
      <c r="D3" s="12" t="s">
        <v>138</v>
      </c>
      <c r="E3" s="12" t="s">
        <v>226</v>
      </c>
      <c r="F3" s="54" t="s">
        <v>224</v>
      </c>
      <c r="G3" s="54"/>
      <c r="H3" s="54"/>
      <c r="I3" s="54"/>
      <c r="J3" s="54"/>
      <c r="K3" s="54">
        <v>21</v>
      </c>
      <c r="L3" s="54">
        <v>400059</v>
      </c>
      <c r="M3" s="84" t="s">
        <v>225</v>
      </c>
      <c r="N3" s="54"/>
      <c r="O3" s="54"/>
      <c r="P3" s="54"/>
      <c r="Q3" s="54"/>
      <c r="R3" s="54"/>
      <c r="S3" s="54"/>
      <c r="T3" s="11" t="str">
        <f>CONCATENATE(C3,"|",D3,"|",E3,"|",F3,"|",G3,"|",H3,"|",I3,"|",J3,"|",K3,"|",L3,"|",M3,"|",N3,"|",O3,"|",P3,"|",Q3,"|")</f>
        <v>AS|01|999999999|35-A. |||||21|400059|079|||||</v>
      </c>
      <c r="U3" s="2" t="str">
        <f t="shared" ref="U3" si="0">CONCATENATE(R3,"|",S3,"|")</f>
        <v>||</v>
      </c>
      <c r="V3" s="11" t="str">
        <f t="shared" ref="V3" si="1">CONCATENATE(T3,U3)</f>
        <v>AS|01|999999999|35-A. |||||21|400059|079|||||||</v>
      </c>
    </row>
  </sheetData>
  <phoneticPr fontId="0" type="noConversion"/>
  <pageMargins left="0.7" right="0.7" top="0.75" bottom="0.75" header="0.3" footer="0.3"/>
  <pageSetup paperSize="9" orientation="portrait" r:id="rId1"/>
  <headerFooter>
    <oddFooter>&amp;C&amp;1#&amp;"Calibri"&amp;14&amp;KFF0000PROPRIETARY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3"/>
  <sheetViews>
    <sheetView showGridLines="0" zoomScale="110" zoomScaleNormal="110" workbookViewId="0">
      <selection activeCell="E1" sqref="E1"/>
    </sheetView>
  </sheetViews>
  <sheetFormatPr defaultColWidth="25.1796875" defaultRowHeight="13" x14ac:dyDescent="0.3"/>
  <cols>
    <col min="1" max="1" width="9.26953125" style="68" bestFit="1" customWidth="1"/>
    <col min="2" max="2" width="9" style="68" bestFit="1" customWidth="1"/>
    <col min="3" max="3" width="21" style="68" bestFit="1" customWidth="1"/>
    <col min="4" max="4" width="29.453125" style="68" bestFit="1" customWidth="1"/>
    <col min="5" max="5" width="16.54296875" style="68" bestFit="1" customWidth="1"/>
    <col min="6" max="6" width="15.7265625" style="68" bestFit="1" customWidth="1"/>
    <col min="7" max="7" width="80.81640625" style="68" bestFit="1" customWidth="1"/>
    <col min="8" max="8" width="21.26953125" style="68" bestFit="1" customWidth="1"/>
    <col min="9" max="9" width="26.7265625" style="68" bestFit="1" customWidth="1"/>
    <col min="10" max="10" width="24.81640625" style="68" bestFit="1" customWidth="1"/>
    <col min="11" max="11" width="64.26953125" style="68" bestFit="1" customWidth="1"/>
    <col min="12" max="12" width="30.1796875" style="68" bestFit="1" customWidth="1"/>
    <col min="13" max="13" width="32" style="68" bestFit="1" customWidth="1"/>
    <col min="14" max="14" width="23.54296875" style="68" bestFit="1" customWidth="1"/>
    <col min="15" max="15" width="16.1796875" style="68" bestFit="1" customWidth="1"/>
    <col min="16" max="16" width="9.26953125" style="68" bestFit="1" customWidth="1"/>
    <col min="17" max="17" width="12.54296875" style="68" bestFit="1" customWidth="1"/>
    <col min="18" max="18" width="20" style="68" bestFit="1" customWidth="1"/>
    <col min="19" max="19" width="21.54296875" style="68" bestFit="1" customWidth="1"/>
    <col min="20" max="20" width="8.7265625" style="68" bestFit="1" customWidth="1"/>
    <col min="21" max="21" width="18.453125" style="68" bestFit="1" customWidth="1"/>
    <col min="22" max="23" width="8.7265625" style="68" bestFit="1" customWidth="1"/>
    <col min="24" max="24" width="8.54296875" style="68" bestFit="1" customWidth="1"/>
    <col min="25" max="25" width="16.7265625" style="68" bestFit="1" customWidth="1"/>
    <col min="26" max="26" width="12.81640625" style="68" bestFit="1" customWidth="1"/>
    <col min="27" max="27" width="24" style="68" bestFit="1" customWidth="1"/>
    <col min="28" max="28" width="137.81640625" style="68" bestFit="1" customWidth="1"/>
    <col min="29" max="30" width="18.26953125" style="68" bestFit="1" customWidth="1"/>
    <col min="31" max="31" width="13.7265625" style="68" bestFit="1" customWidth="1"/>
    <col min="32" max="32" width="11.7265625" style="68" bestFit="1" customWidth="1"/>
    <col min="33" max="33" width="23.54296875" style="68" bestFit="1" customWidth="1"/>
    <col min="34" max="34" width="12.81640625" style="68" bestFit="1" customWidth="1"/>
    <col min="35" max="35" width="12" style="68" bestFit="1" customWidth="1"/>
    <col min="36" max="36" width="20.81640625" style="68" bestFit="1" customWidth="1"/>
    <col min="37" max="37" width="24" style="68" bestFit="1" customWidth="1"/>
    <col min="38" max="38" width="24.1796875" style="68" bestFit="1" customWidth="1"/>
    <col min="39" max="40" width="18" style="68" bestFit="1" customWidth="1"/>
    <col min="41" max="41" width="10" style="68" bestFit="1" customWidth="1"/>
    <col min="42" max="43" width="20.6328125" style="68" customWidth="1"/>
    <col min="44" max="44" width="12.1796875" style="68" bestFit="1" customWidth="1"/>
    <col min="45" max="45" width="20.6328125" style="68" customWidth="1"/>
    <col min="46" max="16384" width="25.1796875" style="68"/>
  </cols>
  <sheetData>
    <row r="1" spans="1:46" ht="14.5" x14ac:dyDescent="0.35">
      <c r="A1" s="81" t="s">
        <v>131</v>
      </c>
      <c r="B1" s="80" t="s">
        <v>132</v>
      </c>
      <c r="C1" s="80" t="s">
        <v>7</v>
      </c>
      <c r="D1" s="4" t="s">
        <v>47</v>
      </c>
      <c r="E1" s="80" t="s">
        <v>48</v>
      </c>
      <c r="F1" s="80" t="s">
        <v>49</v>
      </c>
      <c r="G1" s="3" t="s">
        <v>50</v>
      </c>
      <c r="H1" s="3" t="s">
        <v>19</v>
      </c>
      <c r="I1" s="3" t="s">
        <v>51</v>
      </c>
      <c r="J1" s="2" t="s">
        <v>52</v>
      </c>
      <c r="K1" s="80" t="s">
        <v>53</v>
      </c>
      <c r="L1" s="86" t="s">
        <v>54</v>
      </c>
      <c r="M1" s="86" t="s">
        <v>12</v>
      </c>
      <c r="N1" s="86" t="s">
        <v>13</v>
      </c>
      <c r="O1" s="86" t="s">
        <v>55</v>
      </c>
      <c r="P1" s="86" t="s">
        <v>14</v>
      </c>
      <c r="Q1" s="86" t="s">
        <v>56</v>
      </c>
      <c r="R1" s="86" t="s">
        <v>57</v>
      </c>
      <c r="S1" s="86" t="s">
        <v>58</v>
      </c>
      <c r="T1" s="86" t="s">
        <v>59</v>
      </c>
      <c r="U1" s="86" t="s">
        <v>60</v>
      </c>
      <c r="V1" s="86" t="s">
        <v>15</v>
      </c>
      <c r="W1" s="86" t="s">
        <v>61</v>
      </c>
      <c r="X1" s="86" t="s">
        <v>16</v>
      </c>
      <c r="Y1" s="86" t="s">
        <v>17</v>
      </c>
      <c r="Z1" s="86" t="s">
        <v>18</v>
      </c>
      <c r="AA1" s="86" t="s">
        <v>62</v>
      </c>
      <c r="AB1" s="80" t="s">
        <v>34</v>
      </c>
      <c r="AC1" s="86" t="s">
        <v>35</v>
      </c>
      <c r="AD1" s="86" t="s">
        <v>36</v>
      </c>
      <c r="AE1" s="86" t="s">
        <v>37</v>
      </c>
      <c r="AF1" s="86" t="s">
        <v>38</v>
      </c>
      <c r="AG1" s="86" t="s">
        <v>39</v>
      </c>
      <c r="AH1" s="86" t="s">
        <v>40</v>
      </c>
      <c r="AI1" s="86" t="s">
        <v>41</v>
      </c>
      <c r="AJ1" s="86" t="s">
        <v>42</v>
      </c>
      <c r="AK1" s="86" t="s">
        <v>44</v>
      </c>
      <c r="AL1" s="86" t="s">
        <v>43</v>
      </c>
      <c r="AM1" s="86" t="s">
        <v>46</v>
      </c>
      <c r="AN1" s="86" t="s">
        <v>45</v>
      </c>
      <c r="AO1" s="86" t="s">
        <v>6</v>
      </c>
      <c r="AP1" s="86" t="s">
        <v>137</v>
      </c>
      <c r="AQ1" s="86" t="s">
        <v>137</v>
      </c>
      <c r="AR1" s="86" t="s">
        <v>137</v>
      </c>
      <c r="AS1" s="86" t="s">
        <v>139</v>
      </c>
      <c r="AT1" s="80"/>
    </row>
    <row r="2" spans="1:46" ht="14.5" x14ac:dyDescent="0.3">
      <c r="A2" s="20" t="s">
        <v>237</v>
      </c>
      <c r="B2" s="71">
        <v>3</v>
      </c>
      <c r="C2" s="71" t="s">
        <v>133</v>
      </c>
      <c r="D2" s="71"/>
      <c r="E2" s="71" t="s">
        <v>227</v>
      </c>
      <c r="F2" s="71"/>
      <c r="G2" s="69" t="s">
        <v>239</v>
      </c>
      <c r="H2" s="71" t="s">
        <v>140</v>
      </c>
      <c r="I2" s="71" t="s">
        <v>218</v>
      </c>
      <c r="J2" s="69"/>
      <c r="K2" s="70" t="s">
        <v>231</v>
      </c>
      <c r="L2" s="71"/>
      <c r="M2" s="78"/>
      <c r="N2" s="79"/>
      <c r="O2" s="76"/>
      <c r="P2" s="76"/>
      <c r="Q2" s="69"/>
      <c r="R2" s="69"/>
      <c r="S2" s="69"/>
      <c r="T2" s="69"/>
      <c r="U2" s="69"/>
      <c r="V2" s="70"/>
      <c r="W2" s="78"/>
      <c r="X2" s="69"/>
      <c r="Y2" s="69"/>
      <c r="Z2" s="69"/>
      <c r="AA2" s="69"/>
      <c r="AB2" s="70" t="s">
        <v>240</v>
      </c>
      <c r="AC2" s="71"/>
      <c r="AD2" s="71"/>
      <c r="AE2" s="70"/>
      <c r="AF2" s="71"/>
      <c r="AG2" s="74"/>
      <c r="AH2" s="70"/>
      <c r="AI2" s="71"/>
      <c r="AJ2" s="71"/>
      <c r="AK2" s="71"/>
      <c r="AL2" s="71"/>
      <c r="AM2" s="71"/>
      <c r="AN2" s="71"/>
      <c r="AO2" s="69"/>
      <c r="AP2" s="73" t="str">
        <f>CONCATENATE(C2,"|",D2,"|",E2,"|",F2,"|",G2,"|",H2,"|",I2,"|",J2,"|",K2,"|",L2,"|",M2,"|",N2,"|",O2,"|",P2,"|",Q2,"|")</f>
        <v>RS||1|| Housing Finance Limited|07|11||KAPILKUMAR RAJESHKUMAR WADHAWAN WADHAWAN|||||||</v>
      </c>
      <c r="AQ2" s="69" t="str">
        <f t="shared" ref="AQ2:AQ3" si="0">CONCATENATE(R2,"|",S2,"|",T2,"|",U2,"|",V2,"|",W2,"|",X2,"|",Y2,"|",Z2,"|",AA2,"|",AB2,"|",AC2,"|",AD2,"|",AE2,"|",AF2,"|")</f>
        <v>||||||||||2nd Floor, No. 3, JVT TOWERS, 8TH |||||</v>
      </c>
      <c r="AR2" s="69" t="str">
        <f t="shared" ref="AR2:AR3" si="1">CONCATENATE(AG2,"|",AH2,"|",AI2,"|",AJ2,"|",AK2,"|",AL2,"|",AM2,"|",AN2,"|",AO2,"|")</f>
        <v>|||||||||</v>
      </c>
      <c r="AS2" s="69" t="str">
        <f>CONCATENATE(AP2,AQ2,AR2)</f>
        <v>RS||1|| Housing Finance Limited|07|11||KAPILKUMAR RAJESHKUMAR WADHAWAN WADHAWAN|||||||||||||||||2nd Floor, No. 3, JVT TOWERS, 8TH ||||||||||||||</v>
      </c>
      <c r="AT2" s="69"/>
    </row>
    <row r="3" spans="1:46" ht="14.5" x14ac:dyDescent="0.35">
      <c r="A3" s="53" t="s">
        <v>238</v>
      </c>
      <c r="B3" s="71">
        <v>3</v>
      </c>
      <c r="C3" s="71" t="s">
        <v>133</v>
      </c>
      <c r="D3" s="71"/>
      <c r="E3" s="71" t="s">
        <v>227</v>
      </c>
      <c r="F3" s="71"/>
      <c r="G3" s="69" t="s">
        <v>239</v>
      </c>
      <c r="H3" s="71" t="s">
        <v>140</v>
      </c>
      <c r="I3" s="71" t="s">
        <v>218</v>
      </c>
      <c r="J3" s="71"/>
      <c r="K3" s="70" t="s">
        <v>230</v>
      </c>
      <c r="L3" s="74"/>
      <c r="M3" s="78"/>
      <c r="N3" s="79"/>
      <c r="O3" s="79"/>
      <c r="P3" s="76"/>
      <c r="Q3" s="69"/>
      <c r="R3" s="69"/>
      <c r="S3" s="69"/>
      <c r="T3" s="69"/>
      <c r="U3" s="69"/>
      <c r="V3" s="70"/>
      <c r="W3" s="77"/>
      <c r="X3" s="69"/>
      <c r="Y3" s="69"/>
      <c r="Z3" s="69"/>
      <c r="AA3" s="69"/>
      <c r="AB3" s="72" t="s">
        <v>241</v>
      </c>
      <c r="AC3" s="71"/>
      <c r="AD3" s="71"/>
      <c r="AE3" s="70"/>
      <c r="AF3" s="75"/>
      <c r="AG3" s="74"/>
      <c r="AH3" s="70"/>
      <c r="AI3" s="71"/>
      <c r="AJ3" s="71"/>
      <c r="AK3" s="71"/>
      <c r="AL3" s="71"/>
      <c r="AM3" s="71"/>
      <c r="AN3" s="71"/>
      <c r="AO3" s="69"/>
      <c r="AP3" s="73" t="str">
        <f>CONCATENATE(C3,"|",D3,"|",E3,"|",F3,"|",G3,"|",H3,"|",I3,"|",J3,"|",K3,"|",L3,"|",M3,"|",N3,"|",O3,"|",P3,"|",Q3,"|")</f>
        <v>RS||1|| Housing Finance Limited|07|11||MAHENDRAKUMAR CHOUHAN|||||||</v>
      </c>
      <c r="AQ3" s="69" t="str">
        <f t="shared" si="0"/>
        <v>||||||||||A/1, SHITALA KRUPA, |||||</v>
      </c>
      <c r="AR3" s="69" t="str">
        <f t="shared" si="1"/>
        <v>|||||||||</v>
      </c>
      <c r="AS3" s="69" t="str">
        <f>CONCATENATE(AP3,AQ3,AR3)</f>
        <v>RS||1|| Housing Finance Limited|07|11||MAHENDRAKUMAR CHOUHAN|||||||||||||||||A/1, SHITALA KRUPA, ||||||||||||||</v>
      </c>
      <c r="AT3" s="69"/>
    </row>
  </sheetData>
  <pageMargins left="0.7" right="0.7" top="0.75" bottom="0.75" header="0.3" footer="0.3"/>
  <pageSetup orientation="portrait" r:id="rId1"/>
  <headerFooter>
    <oddFooter>&amp;C&amp;1#&amp;"Calibri"&amp;14&amp;KFF0000PROPRIETARY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</sheetPr>
  <dimension ref="A1:AY3"/>
  <sheetViews>
    <sheetView showGridLines="0" workbookViewId="0">
      <selection activeCell="C2" sqref="C2:D6"/>
    </sheetView>
  </sheetViews>
  <sheetFormatPr defaultColWidth="9.1796875" defaultRowHeight="14.5" x14ac:dyDescent="0.35"/>
  <cols>
    <col min="1" max="1" width="7.54296875" style="14" bestFit="1" customWidth="1"/>
    <col min="2" max="2" width="4.54296875" style="14" bestFit="1" customWidth="1"/>
    <col min="3" max="3" width="18" style="14" customWidth="1"/>
    <col min="4" max="4" width="23.81640625" style="14" customWidth="1"/>
    <col min="5" max="5" width="38.26953125" style="14" customWidth="1"/>
    <col min="6" max="6" width="40.81640625" style="89" customWidth="1"/>
    <col min="7" max="7" width="46.453125" style="14" customWidth="1"/>
    <col min="8" max="8" width="14" style="14" customWidth="1"/>
    <col min="9" max="9" width="11.1796875" style="14" customWidth="1"/>
    <col min="10" max="10" width="24" style="14" customWidth="1"/>
    <col min="11" max="11" width="21.1796875" style="14" customWidth="1"/>
    <col min="12" max="12" width="14.54296875" style="14" customWidth="1"/>
    <col min="13" max="13" width="44.26953125" style="14" bestFit="1" customWidth="1"/>
    <col min="14" max="14" width="52.54296875" style="14" bestFit="1" customWidth="1"/>
    <col min="15" max="15" width="25.26953125" style="14" bestFit="1" customWidth="1"/>
    <col min="16" max="16" width="18.1796875" style="14" bestFit="1" customWidth="1"/>
    <col min="17" max="17" width="18.26953125" style="14" bestFit="1" customWidth="1"/>
    <col min="18" max="18" width="23" style="14" bestFit="1" customWidth="1"/>
    <col min="19" max="19" width="31.26953125" style="14" bestFit="1" customWidth="1"/>
    <col min="20" max="23" width="17.81640625" style="14" bestFit="1" customWidth="1"/>
    <col min="24" max="24" width="33.81640625" style="14" bestFit="1" customWidth="1"/>
    <col min="25" max="25" width="10.81640625" style="14" bestFit="1" customWidth="1"/>
    <col min="26" max="26" width="19" style="14" bestFit="1" customWidth="1"/>
    <col min="27" max="27" width="18.81640625" style="14" bestFit="1" customWidth="1"/>
    <col min="28" max="28" width="14.1796875" style="14" bestFit="1" customWidth="1"/>
    <col min="29" max="29" width="18.81640625" style="14" bestFit="1" customWidth="1"/>
    <col min="30" max="30" width="19" style="14" bestFit="1" customWidth="1"/>
    <col min="31" max="31" width="15.1796875" style="14" bestFit="1" customWidth="1"/>
    <col min="32" max="32" width="29.26953125" style="14" bestFit="1" customWidth="1"/>
    <col min="33" max="33" width="35.54296875" style="14" bestFit="1" customWidth="1"/>
    <col min="34" max="34" width="28.1796875" style="14" bestFit="1" customWidth="1"/>
    <col min="35" max="35" width="19.26953125" style="14" bestFit="1" customWidth="1"/>
    <col min="36" max="36" width="17.7265625" style="14" bestFit="1" customWidth="1"/>
    <col min="37" max="37" width="19.54296875" style="14" bestFit="1" customWidth="1"/>
    <col min="38" max="38" width="30" style="14" bestFit="1" customWidth="1"/>
    <col min="39" max="39" width="15.26953125" style="14" bestFit="1" customWidth="1"/>
    <col min="40" max="40" width="22.1796875" style="14" bestFit="1" customWidth="1"/>
    <col min="41" max="41" width="21.54296875" style="14" bestFit="1" customWidth="1"/>
    <col min="42" max="42" width="11.26953125" style="14" bestFit="1" customWidth="1"/>
    <col min="43" max="43" width="13.81640625" style="14" bestFit="1" customWidth="1"/>
    <col min="44" max="44" width="21.1796875" style="14" bestFit="1" customWidth="1"/>
    <col min="45" max="45" width="10.1796875" style="14" bestFit="1" customWidth="1"/>
    <col min="46" max="46" width="14.54296875" style="14" bestFit="1" customWidth="1"/>
    <col min="47" max="47" width="10" style="14" bestFit="1" customWidth="1"/>
    <col min="48" max="48" width="20.6328125" style="14" customWidth="1"/>
    <col min="49" max="16384" width="9.1796875" style="14"/>
  </cols>
  <sheetData>
    <row r="1" spans="1:51" s="17" customFormat="1" ht="29" x14ac:dyDescent="0.35">
      <c r="A1" s="28" t="s">
        <v>131</v>
      </c>
      <c r="B1" s="28" t="s">
        <v>132</v>
      </c>
      <c r="C1" s="9" t="s">
        <v>7</v>
      </c>
      <c r="D1" s="9" t="s">
        <v>63</v>
      </c>
      <c r="E1" s="8" t="s">
        <v>64</v>
      </c>
      <c r="F1" s="87" t="s">
        <v>65</v>
      </c>
      <c r="G1" s="9" t="s">
        <v>66</v>
      </c>
      <c r="H1" s="9" t="s">
        <v>67</v>
      </c>
      <c r="I1" s="9" t="s">
        <v>119</v>
      </c>
      <c r="J1" s="8" t="s">
        <v>68</v>
      </c>
      <c r="K1" s="9" t="s">
        <v>69</v>
      </c>
      <c r="L1" s="9" t="s">
        <v>70</v>
      </c>
      <c r="M1" s="9" t="s">
        <v>71</v>
      </c>
      <c r="N1" s="8" t="s">
        <v>72</v>
      </c>
      <c r="O1" s="8" t="s">
        <v>73</v>
      </c>
      <c r="P1" s="8" t="s">
        <v>74</v>
      </c>
      <c r="Q1" s="9" t="s">
        <v>212</v>
      </c>
      <c r="R1" s="8" t="s">
        <v>75</v>
      </c>
      <c r="S1" s="9" t="s">
        <v>76</v>
      </c>
      <c r="T1" s="18" t="s">
        <v>121</v>
      </c>
      <c r="U1" s="18" t="s">
        <v>122</v>
      </c>
      <c r="V1" s="18" t="s">
        <v>123</v>
      </c>
      <c r="W1" s="18" t="s">
        <v>124</v>
      </c>
      <c r="X1" s="8" t="s">
        <v>77</v>
      </c>
      <c r="Y1" s="8" t="s">
        <v>78</v>
      </c>
      <c r="Z1" s="8" t="s">
        <v>79</v>
      </c>
      <c r="AA1" s="8" t="s">
        <v>80</v>
      </c>
      <c r="AB1" s="9" t="s">
        <v>81</v>
      </c>
      <c r="AC1" s="8" t="s">
        <v>82</v>
      </c>
      <c r="AD1" s="8" t="s">
        <v>83</v>
      </c>
      <c r="AE1" s="8" t="s">
        <v>84</v>
      </c>
      <c r="AF1" s="8" t="s">
        <v>85</v>
      </c>
      <c r="AG1" s="8" t="s">
        <v>86</v>
      </c>
      <c r="AH1" s="8" t="s">
        <v>87</v>
      </c>
      <c r="AI1" s="8" t="s">
        <v>88</v>
      </c>
      <c r="AJ1" s="8" t="s">
        <v>89</v>
      </c>
      <c r="AK1" s="9" t="s">
        <v>90</v>
      </c>
      <c r="AL1" s="15" t="s">
        <v>91</v>
      </c>
      <c r="AM1" s="8" t="s">
        <v>92</v>
      </c>
      <c r="AN1" s="15" t="s">
        <v>93</v>
      </c>
      <c r="AO1" s="15" t="s">
        <v>94</v>
      </c>
      <c r="AP1" s="15" t="s">
        <v>95</v>
      </c>
      <c r="AQ1" s="8" t="s">
        <v>96</v>
      </c>
      <c r="AR1" s="8" t="s">
        <v>97</v>
      </c>
      <c r="AS1" s="8" t="s">
        <v>214</v>
      </c>
      <c r="AT1" s="8" t="s">
        <v>215</v>
      </c>
      <c r="AU1" s="8" t="s">
        <v>216</v>
      </c>
      <c r="AV1" s="8" t="s">
        <v>137</v>
      </c>
      <c r="AW1" s="8" t="s">
        <v>137</v>
      </c>
      <c r="AX1" s="8" t="s">
        <v>137</v>
      </c>
      <c r="AY1" s="2" t="s">
        <v>139</v>
      </c>
    </row>
    <row r="2" spans="1:51" x14ac:dyDescent="0.35">
      <c r="A2" s="20" t="s">
        <v>237</v>
      </c>
      <c r="B2" s="13">
        <v>4</v>
      </c>
      <c r="C2" s="10" t="s">
        <v>129</v>
      </c>
      <c r="D2" s="20" t="s">
        <v>237</v>
      </c>
      <c r="E2" s="61"/>
      <c r="F2" s="88"/>
      <c r="G2" s="56">
        <v>150000000</v>
      </c>
      <c r="H2" s="10" t="s">
        <v>141</v>
      </c>
      <c r="I2" s="24" t="s">
        <v>228</v>
      </c>
      <c r="J2" s="58">
        <f>(O2-F2)/365</f>
        <v>118.47671232876712</v>
      </c>
      <c r="K2" s="50" t="s">
        <v>138</v>
      </c>
      <c r="L2" s="60">
        <v>0</v>
      </c>
      <c r="M2" s="59">
        <v>31006074</v>
      </c>
      <c r="N2" s="59">
        <v>31006074</v>
      </c>
      <c r="O2" s="55">
        <v>43244</v>
      </c>
      <c r="P2" s="11"/>
      <c r="Q2" s="16" t="s">
        <v>142</v>
      </c>
      <c r="R2" s="11"/>
      <c r="S2" s="24">
        <v>0</v>
      </c>
      <c r="T2" s="11"/>
      <c r="U2" s="11"/>
      <c r="V2" s="11"/>
      <c r="W2" s="11"/>
      <c r="X2" s="11"/>
      <c r="Y2" s="11"/>
      <c r="Z2" s="11"/>
      <c r="AA2" s="11"/>
      <c r="AB2" s="16" t="s">
        <v>138</v>
      </c>
      <c r="AC2" s="11"/>
      <c r="AD2" s="11"/>
      <c r="AE2" s="11"/>
      <c r="AF2" s="11"/>
      <c r="AG2" s="11"/>
      <c r="AH2" s="11"/>
      <c r="AI2" s="11"/>
      <c r="AJ2" s="11"/>
      <c r="AK2" s="24">
        <v>0</v>
      </c>
      <c r="AL2" s="11"/>
      <c r="AM2" s="11"/>
      <c r="AN2" s="11"/>
      <c r="AO2" s="11"/>
      <c r="AP2" s="11"/>
      <c r="AQ2" s="11"/>
      <c r="AR2" s="2"/>
      <c r="AS2" s="11"/>
      <c r="AT2" s="11"/>
      <c r="AU2" s="11"/>
      <c r="AV2" s="11" t="str">
        <f>CONCATENATE(C2,"|",D2,"|",E2,"|",F2,"|",G2,"|",H2,"|",I2,"|",J2,"|",K2,"|",L2,"|",M2,"|",N2,"|",O2,"|",P2,"|",Q2,"|")</f>
        <v>CR|17891|||150000000|INR|0410|118.476712328767|01|0|31006074|31006074|43244||0001|</v>
      </c>
      <c r="AW2" s="11" t="str">
        <f>CONCATENATE(R2,"|",S2,"|",T2,"|",U2,"|",V2,"|",W2,"|",X2,"|",Y2,"|",Z2,"|",AA2,"|",AB2,"|",AC2,"|",AD2,"|",AE2,"|",AF2,"|")</f>
        <v>|0|||||||||01|||||</v>
      </c>
      <c r="AX2" s="11" t="str">
        <f>CONCATENATE(AG2,"|",AH2,"|",AI2,"|",AJ2,"|",AK2,"|",AL2,"|",AM2,"|",AN2,"|",AO2,"|",AP2,"|",AQ2,"|",AR2,"|",AS2,"|",AT2,"|",AU2,"|")</f>
        <v>||||0|||||||||||</v>
      </c>
      <c r="AY2" s="11" t="str">
        <f>CONCATENATE(AV2,AW2,AX2)</f>
        <v>CR|17891|||150000000|INR|0410|118.476712328767|01|0|31006074|31006074|43244||0001||0|||||||||01|||||||||0|||||||||||</v>
      </c>
    </row>
    <row r="3" spans="1:51" x14ac:dyDescent="0.35">
      <c r="A3" s="53" t="s">
        <v>238</v>
      </c>
      <c r="B3" s="13">
        <v>4</v>
      </c>
      <c r="C3" s="10" t="s">
        <v>129</v>
      </c>
      <c r="D3" s="53" t="s">
        <v>238</v>
      </c>
      <c r="E3" s="61"/>
      <c r="F3" s="88"/>
      <c r="G3" s="56">
        <v>100000000</v>
      </c>
      <c r="H3" s="10" t="s">
        <v>141</v>
      </c>
      <c r="I3" s="24" t="s">
        <v>228</v>
      </c>
      <c r="J3" s="58">
        <f t="shared" ref="J3" si="0">(O3-F3)/365</f>
        <v>118.76986301369863</v>
      </c>
      <c r="K3" s="50" t="s">
        <v>138</v>
      </c>
      <c r="L3" s="60">
        <v>0</v>
      </c>
      <c r="M3" s="59">
        <v>38862848</v>
      </c>
      <c r="N3" s="59">
        <v>38862848</v>
      </c>
      <c r="O3" s="57">
        <v>43351</v>
      </c>
      <c r="P3" s="11"/>
      <c r="Q3" s="16" t="s">
        <v>142</v>
      </c>
      <c r="R3" s="11"/>
      <c r="S3" s="24">
        <v>0</v>
      </c>
      <c r="T3" s="11"/>
      <c r="U3" s="11"/>
      <c r="V3" s="11"/>
      <c r="W3" s="11"/>
      <c r="X3" s="11"/>
      <c r="Y3" s="11"/>
      <c r="Z3" s="11"/>
      <c r="AA3" s="11"/>
      <c r="AB3" s="16" t="s">
        <v>138</v>
      </c>
      <c r="AC3" s="11"/>
      <c r="AD3" s="11"/>
      <c r="AE3" s="11"/>
      <c r="AF3" s="11"/>
      <c r="AG3" s="11"/>
      <c r="AH3" s="11"/>
      <c r="AI3" s="11"/>
      <c r="AJ3" s="11"/>
      <c r="AK3" s="24">
        <v>0</v>
      </c>
      <c r="AL3" s="11"/>
      <c r="AM3" s="11"/>
      <c r="AN3" s="11"/>
      <c r="AO3" s="11"/>
      <c r="AP3" s="11"/>
      <c r="AQ3" s="11"/>
      <c r="AR3" s="2"/>
      <c r="AS3" s="11"/>
      <c r="AT3" s="11"/>
      <c r="AU3" s="11"/>
      <c r="AV3" s="11" t="str">
        <f>CONCATENATE(C3,"|",D3,"|",E3,"|",F3,"|",G3,"|",H3,"|",I3,"|",J3,"|",K3,"|",L3,"|",M3,"|",N3,"|",O3,"|",P3,"|",Q3,"|")</f>
        <v>CR|17892|||100000000|INR|0410|118.769863013699|01|0|38862848|38862848|43351||0001|</v>
      </c>
      <c r="AW3" s="11" t="str">
        <f t="shared" ref="AW3" si="1">CONCATENATE(R3,"|",S3,"|",T3,"|",U3,"|",V3,"|",W3,"|",X3,"|",Y3,"|",Z3,"|",AA3,"|",AB3,"|",AC3,"|",AD3,"|",AE3,"|",AF3,"|")</f>
        <v>|0|||||||||01|||||</v>
      </c>
      <c r="AX3" s="11" t="str">
        <f>CONCATENATE(AG3,"|",AH3,"|",AI3,"|",AJ3,"|",AK3,"|",AL3,"|",AM3,"|",AN3,"|",AO3,"|",AP3,"|",AQ3,"|",AR3,"|",AS3,"|",AT3,"|",AU3,"|")</f>
        <v>||||0|||||||||||</v>
      </c>
      <c r="AY3" s="11" t="str">
        <f t="shared" ref="AY3" si="2">CONCATENATE(AV3,AW3,AX3)</f>
        <v>CR|17892|||100000000|INR|0410|118.769863013699|01|0|38862848|38862848|43351||0001||0|||||||||01|||||||||0|||||||||||</v>
      </c>
    </row>
  </sheetData>
  <phoneticPr fontId="0" type="noConversion"/>
  <pageMargins left="0.7" right="0.7" top="0.75" bottom="0.75" header="0.3" footer="0.3"/>
  <pageSetup orientation="portrait" r:id="rId1"/>
  <headerFooter>
    <oddFooter>&amp;C&amp;1#&amp;"Calibri"&amp;14&amp;KFF0000PROPRIETARY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Q18"/>
  <sheetViews>
    <sheetView showGridLines="0" topLeftCell="AK1" workbookViewId="0">
      <selection activeCell="AN7" sqref="AN7"/>
    </sheetView>
  </sheetViews>
  <sheetFormatPr defaultRowHeight="14.5" x14ac:dyDescent="0.35"/>
  <cols>
    <col min="1" max="1" width="7.54296875" bestFit="1" customWidth="1"/>
    <col min="2" max="2" width="4.54296875" bestFit="1" customWidth="1"/>
    <col min="3" max="3" width="18" bestFit="1" customWidth="1"/>
    <col min="4" max="4" width="23.453125" bestFit="1" customWidth="1"/>
    <col min="5" max="5" width="14.7265625" bestFit="1" customWidth="1"/>
    <col min="6" max="6" width="17.26953125" bestFit="1" customWidth="1"/>
    <col min="7" max="7" width="22.81640625" bestFit="1" customWidth="1"/>
    <col min="8" max="8" width="71.7265625" bestFit="1" customWidth="1"/>
    <col min="9" max="9" width="21.7265625" bestFit="1" customWidth="1"/>
    <col min="10" max="10" width="20.81640625" bestFit="1" customWidth="1"/>
    <col min="11" max="11" width="7.54296875" bestFit="1" customWidth="1"/>
    <col min="12" max="12" width="28.7265625" bestFit="1" customWidth="1"/>
    <col min="13" max="13" width="20.1796875" bestFit="1" customWidth="1"/>
    <col min="14" max="14" width="12.7265625" bestFit="1" customWidth="1"/>
    <col min="15" max="15" width="16.453125" bestFit="1" customWidth="1"/>
    <col min="16" max="16" width="8.26953125" bestFit="1" customWidth="1"/>
    <col min="17" max="17" width="16.453125" bestFit="1" customWidth="1"/>
    <col min="18" max="18" width="16.7265625" bestFit="1" customWidth="1"/>
    <col min="19" max="19" width="4.1796875" bestFit="1" customWidth="1"/>
    <col min="20" max="20" width="14.26953125" bestFit="1" customWidth="1"/>
    <col min="21" max="21" width="4.1796875" bestFit="1" customWidth="1"/>
    <col min="22" max="22" width="4.26953125" bestFit="1" customWidth="1"/>
    <col min="23" max="23" width="4" bestFit="1" customWidth="1"/>
    <col min="24" max="24" width="12.26953125" bestFit="1" customWidth="1"/>
    <col min="25" max="25" width="8.453125" bestFit="1" customWidth="1"/>
    <col min="26" max="26" width="60.1796875" customWidth="1"/>
    <col min="27" max="28" width="13.81640625" bestFit="1" customWidth="1"/>
    <col min="29" max="29" width="10.1796875" bestFit="1" customWidth="1"/>
    <col min="30" max="30" width="7.26953125" bestFit="1" customWidth="1"/>
    <col min="31" max="31" width="20.1796875" bestFit="1" customWidth="1"/>
    <col min="32" max="32" width="8.81640625" bestFit="1" customWidth="1"/>
    <col min="33" max="33" width="8" bestFit="1" customWidth="1"/>
    <col min="34" max="34" width="17.54296875" bestFit="1" customWidth="1"/>
    <col min="35" max="35" width="20.453125" bestFit="1" customWidth="1"/>
    <col min="36" max="36" width="20.81640625" bestFit="1" customWidth="1"/>
    <col min="37" max="37" width="13.7265625" bestFit="1" customWidth="1"/>
    <col min="38" max="38" width="14.1796875" bestFit="1" customWidth="1"/>
    <col min="39" max="39" width="5.54296875" bestFit="1" customWidth="1"/>
    <col min="40" max="40" width="27.81640625" bestFit="1" customWidth="1"/>
    <col min="43" max="43" width="42.54296875" customWidth="1"/>
  </cols>
  <sheetData>
    <row r="1" spans="1:43" x14ac:dyDescent="0.35">
      <c r="A1" s="34" t="s">
        <v>131</v>
      </c>
      <c r="B1" s="34" t="s">
        <v>132</v>
      </c>
      <c r="C1" s="35" t="s">
        <v>7</v>
      </c>
      <c r="D1" s="36" t="s">
        <v>98</v>
      </c>
      <c r="E1" s="35" t="s">
        <v>99</v>
      </c>
      <c r="F1" s="35" t="s">
        <v>19</v>
      </c>
      <c r="G1" s="35" t="s">
        <v>51</v>
      </c>
      <c r="H1" s="37" t="s">
        <v>100</v>
      </c>
      <c r="I1" s="33" t="s">
        <v>52</v>
      </c>
      <c r="J1" s="37" t="s">
        <v>53</v>
      </c>
      <c r="K1" s="33" t="s">
        <v>54</v>
      </c>
      <c r="L1" s="33" t="s">
        <v>12</v>
      </c>
      <c r="M1" s="33" t="s">
        <v>13</v>
      </c>
      <c r="N1" s="33" t="s">
        <v>55</v>
      </c>
      <c r="O1" s="33" t="s">
        <v>14</v>
      </c>
      <c r="P1" s="33" t="s">
        <v>56</v>
      </c>
      <c r="Q1" s="33" t="s">
        <v>57</v>
      </c>
      <c r="R1" s="33" t="s">
        <v>58</v>
      </c>
      <c r="S1" s="33" t="s">
        <v>59</v>
      </c>
      <c r="T1" s="33" t="s">
        <v>60</v>
      </c>
      <c r="U1" s="33" t="s">
        <v>15</v>
      </c>
      <c r="V1" s="33" t="s">
        <v>61</v>
      </c>
      <c r="W1" s="33" t="s">
        <v>16</v>
      </c>
      <c r="X1" s="33" t="s">
        <v>17</v>
      </c>
      <c r="Y1" s="33" t="s">
        <v>18</v>
      </c>
      <c r="Z1" s="35" t="s">
        <v>34</v>
      </c>
      <c r="AA1" s="33" t="s">
        <v>35</v>
      </c>
      <c r="AB1" s="33" t="s">
        <v>36</v>
      </c>
      <c r="AC1" s="33" t="s">
        <v>37</v>
      </c>
      <c r="AD1" s="33" t="s">
        <v>38</v>
      </c>
      <c r="AE1" s="33" t="s">
        <v>39</v>
      </c>
      <c r="AF1" s="33" t="s">
        <v>40</v>
      </c>
      <c r="AG1" s="33" t="s">
        <v>41</v>
      </c>
      <c r="AH1" s="33" t="s">
        <v>42</v>
      </c>
      <c r="AI1" s="33" t="s">
        <v>43</v>
      </c>
      <c r="AJ1" s="33" t="s">
        <v>44</v>
      </c>
      <c r="AK1" s="33" t="s">
        <v>45</v>
      </c>
      <c r="AL1" s="33" t="s">
        <v>46</v>
      </c>
      <c r="AM1" s="33" t="s">
        <v>6</v>
      </c>
      <c r="AN1" s="6" t="s">
        <v>137</v>
      </c>
      <c r="AO1" s="6" t="s">
        <v>137</v>
      </c>
      <c r="AP1" s="6" t="s">
        <v>137</v>
      </c>
      <c r="AQ1" s="19" t="s">
        <v>139</v>
      </c>
    </row>
    <row r="2" spans="1:43" x14ac:dyDescent="0.35">
      <c r="A2" s="20" t="s">
        <v>237</v>
      </c>
      <c r="B2" s="21" t="s">
        <v>242</v>
      </c>
      <c r="C2" s="21" t="s">
        <v>134</v>
      </c>
      <c r="D2" s="13"/>
      <c r="E2" s="22"/>
      <c r="F2" s="21"/>
      <c r="G2" s="21"/>
      <c r="H2" s="5"/>
      <c r="I2" s="21"/>
      <c r="J2" s="5"/>
      <c r="K2" s="22"/>
      <c r="L2" s="2"/>
      <c r="M2" s="23"/>
      <c r="N2" s="21"/>
      <c r="O2" s="26"/>
      <c r="P2" s="2"/>
      <c r="Q2" s="2"/>
      <c r="R2" s="2"/>
      <c r="S2" s="2"/>
      <c r="T2" s="2"/>
      <c r="U2" s="2"/>
      <c r="V2" s="2"/>
      <c r="W2" s="2"/>
      <c r="X2" s="2"/>
      <c r="Y2" s="2"/>
      <c r="Z2" s="21" t="s">
        <v>145</v>
      </c>
      <c r="AA2" s="21"/>
      <c r="AB2" s="21"/>
      <c r="AC2" s="21"/>
      <c r="AD2" s="21"/>
      <c r="AE2" s="21"/>
      <c r="AF2" s="12"/>
      <c r="AG2" s="21"/>
      <c r="AH2" s="2"/>
      <c r="AI2" s="2"/>
      <c r="AJ2" s="2"/>
      <c r="AK2" s="2"/>
      <c r="AL2" s="2"/>
      <c r="AM2" s="2"/>
      <c r="AN2" s="2" t="str">
        <f>CONCATENATE(C2,"|",D2,"|",E2,"|",F2,"|",G2,"|",H2,"|",I2,"|",J2,"|",K2,"|",L2,"|",M2,"|",N2,"|",O2,"|",P2,"|",Q2,"|")</f>
        <v>GS|||||||||||||||</v>
      </c>
      <c r="AO2" s="2" t="str">
        <f>CONCATENATE(R2,"|",S2,"|",T2,"|",U2,"|",V2,"|",W2,"|",X2,"|",Y2,"|",Z2,"|",AA2,"|",AB2,"|",AC2,"|",AD2,"|",AE2,"|",AF2,"|")</f>
        <v>||||||||Nariman bhavan, nariman point,churchgate|||||||</v>
      </c>
      <c r="AP2" s="2" t="str">
        <f>CONCATENATE(AG2,"|",AH2,"|",AI2,"|",AJ2,"|",AK2,"|",AL2,"|",AM2,"|")</f>
        <v>|||||||</v>
      </c>
      <c r="AQ2" s="2" t="str">
        <f>CONCATENATE(AN2,AO2,AP2)</f>
        <v>GS|||||||||||||||||||||||Nariman bhavan, nariman point,churchgate||||||||||||||</v>
      </c>
    </row>
    <row r="3" spans="1:43" x14ac:dyDescent="0.35">
      <c r="A3" s="53" t="s">
        <v>238</v>
      </c>
      <c r="B3" s="21" t="s">
        <v>242</v>
      </c>
      <c r="C3" s="21" t="s">
        <v>134</v>
      </c>
      <c r="D3" s="13"/>
      <c r="E3" s="22"/>
      <c r="F3" s="21"/>
      <c r="G3" s="21"/>
      <c r="H3" s="5"/>
      <c r="I3" s="21"/>
      <c r="J3" s="5"/>
      <c r="K3" s="21"/>
      <c r="L3" s="2"/>
      <c r="M3" s="21"/>
      <c r="N3" s="23"/>
      <c r="O3" s="23"/>
      <c r="P3" s="2"/>
      <c r="Q3" s="2"/>
      <c r="R3" s="2"/>
      <c r="S3" s="2"/>
      <c r="T3" s="2"/>
      <c r="U3" s="2"/>
      <c r="V3" s="2"/>
      <c r="W3" s="2"/>
      <c r="X3" s="2"/>
      <c r="Y3" s="2"/>
      <c r="Z3" s="21" t="s">
        <v>145</v>
      </c>
      <c r="AA3" s="21"/>
      <c r="AB3" s="21"/>
      <c r="AC3" s="21"/>
      <c r="AD3" s="21"/>
      <c r="AE3" s="21"/>
      <c r="AF3" s="12"/>
      <c r="AG3" s="21"/>
      <c r="AH3" s="2"/>
      <c r="AI3" s="2"/>
      <c r="AJ3" s="2"/>
      <c r="AK3" s="2"/>
      <c r="AL3" s="2"/>
      <c r="AM3" s="2"/>
      <c r="AN3" s="2" t="str">
        <f>CONCATENATE(C3,"|",D3,"|",E3,"|",F3,"|",G3,"|",H3,"|",I3,"|",J3,"|",K3,"|",L3,"|",M3,"|",N3,"|",O3,"|",P3,"|",Q3,"|")</f>
        <v>GS|||||||||||||||</v>
      </c>
      <c r="AO3" s="2" t="str">
        <f>CONCATENATE(R3,"|",S3,"|",T3,"|",U3,"|",V3,"|",W3,"|",X3,"|",Y3,"|",Z3,"|",AA3,"|",AB3,"|",AC3,"|",AD3,"|",AE3,"|",AF3,"|")</f>
        <v>||||||||Nariman bhavan, nariman point,churchgate|||||||</v>
      </c>
      <c r="AP3" s="2" t="str">
        <f>CONCATENATE(AG3,"|",AH3,"|",AI3,"|",AJ3,"|",AK3,"|",AL3,"|",AM3,"|")</f>
        <v>|||||||</v>
      </c>
      <c r="AQ3" s="2" t="str">
        <f>CONCATENATE(AN3,AO3,AP3)</f>
        <v>GS|||||||||||||||||||||||Nariman bhavan, nariman point,churchgate||||||||||||||</v>
      </c>
    </row>
    <row r="4" spans="1:43" x14ac:dyDescent="0.35">
      <c r="A4" s="31"/>
      <c r="B4" s="7"/>
      <c r="C4" s="7"/>
    </row>
    <row r="5" spans="1:43" x14ac:dyDescent="0.35">
      <c r="A5" s="31"/>
      <c r="B5" s="7"/>
      <c r="C5" s="7"/>
    </row>
    <row r="6" spans="1:43" x14ac:dyDescent="0.35">
      <c r="A6" s="31"/>
      <c r="B6" s="7"/>
      <c r="C6" s="7"/>
    </row>
    <row r="7" spans="1:43" x14ac:dyDescent="0.35">
      <c r="A7" s="31"/>
      <c r="B7" s="7"/>
      <c r="C7" s="7"/>
    </row>
    <row r="8" spans="1:43" x14ac:dyDescent="0.35">
      <c r="A8" s="31"/>
      <c r="B8" s="7"/>
      <c r="C8" s="7"/>
    </row>
    <row r="9" spans="1:43" x14ac:dyDescent="0.35">
      <c r="A9" s="31"/>
      <c r="B9" s="7"/>
      <c r="C9" s="7"/>
    </row>
    <row r="10" spans="1:43" x14ac:dyDescent="0.35">
      <c r="A10" s="31"/>
      <c r="B10" s="7"/>
      <c r="C10" s="7"/>
    </row>
    <row r="11" spans="1:43" x14ac:dyDescent="0.35">
      <c r="A11" s="31"/>
      <c r="B11" s="7"/>
      <c r="C11" s="7"/>
    </row>
    <row r="12" spans="1:43" x14ac:dyDescent="0.35">
      <c r="A12" s="31"/>
      <c r="B12" s="7"/>
      <c r="C12" s="7"/>
    </row>
    <row r="13" spans="1:43" x14ac:dyDescent="0.35">
      <c r="A13" s="31"/>
      <c r="B13" s="7"/>
      <c r="C13" s="7"/>
    </row>
    <row r="14" spans="1:43" x14ac:dyDescent="0.35">
      <c r="A14" s="31"/>
      <c r="B14" s="7"/>
      <c r="C14" s="7"/>
    </row>
    <row r="15" spans="1:43" x14ac:dyDescent="0.35">
      <c r="A15" s="31"/>
      <c r="B15" s="7"/>
      <c r="C15" s="7"/>
    </row>
    <row r="16" spans="1:43" x14ac:dyDescent="0.35">
      <c r="A16" s="31"/>
      <c r="B16" s="7"/>
      <c r="C16" s="7"/>
    </row>
    <row r="17" spans="1:3" x14ac:dyDescent="0.35">
      <c r="A17" s="31"/>
      <c r="B17" s="7"/>
      <c r="C17" s="7"/>
    </row>
    <row r="18" spans="1:3" x14ac:dyDescent="0.35">
      <c r="A18" s="32"/>
      <c r="B18" s="7"/>
      <c r="C18" s="7"/>
    </row>
  </sheetData>
  <phoneticPr fontId="0" type="noConversion"/>
  <pageMargins left="0.7" right="0.7" top="0.75" bottom="0.75" header="0.3" footer="0.3"/>
  <pageSetup orientation="portrait" horizontalDpi="90" verticalDpi="90" r:id="rId1"/>
  <headerFooter>
    <oddFooter>&amp;C&amp;1#&amp;"Calibri"&amp;14&amp;KFF0000PROPRIETARY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42"/>
  <sheetViews>
    <sheetView showGridLines="0" workbookViewId="0">
      <selection activeCell="J2" sqref="J2"/>
    </sheetView>
  </sheetViews>
  <sheetFormatPr defaultRowHeight="14.5" x14ac:dyDescent="0.35"/>
  <cols>
    <col min="3" max="3" width="18" bestFit="1" customWidth="1"/>
    <col min="4" max="4" width="16.1796875" bestFit="1" customWidth="1"/>
    <col min="5" max="5" width="13.7265625" bestFit="1" customWidth="1"/>
    <col min="6" max="6" width="15.26953125" bestFit="1" customWidth="1"/>
    <col min="7" max="7" width="20.54296875" bestFit="1" customWidth="1"/>
    <col min="8" max="8" width="16.54296875" bestFit="1" customWidth="1"/>
    <col min="9" max="9" width="5.54296875" bestFit="1" customWidth="1"/>
  </cols>
  <sheetData>
    <row r="1" spans="1:12" x14ac:dyDescent="0.35">
      <c r="A1" s="29" t="s">
        <v>131</v>
      </c>
      <c r="B1" s="29" t="s">
        <v>132</v>
      </c>
      <c r="C1" s="1" t="s">
        <v>7</v>
      </c>
      <c r="D1" s="1" t="s">
        <v>101</v>
      </c>
      <c r="E1" s="1" t="s">
        <v>102</v>
      </c>
      <c r="F1" s="1" t="s">
        <v>103</v>
      </c>
      <c r="G1" s="1" t="s">
        <v>104</v>
      </c>
      <c r="H1" s="2" t="s">
        <v>105</v>
      </c>
      <c r="I1" s="2" t="s">
        <v>6</v>
      </c>
      <c r="J1" s="2" t="s">
        <v>139</v>
      </c>
      <c r="K1" s="2"/>
      <c r="L1" s="2"/>
    </row>
    <row r="2" spans="1:12" x14ac:dyDescent="0.35">
      <c r="A2" s="20" t="s">
        <v>237</v>
      </c>
      <c r="B2" s="21" t="s">
        <v>243</v>
      </c>
      <c r="C2" s="21" t="s">
        <v>135</v>
      </c>
      <c r="D2" s="25"/>
      <c r="E2" s="21"/>
      <c r="F2" s="21"/>
      <c r="G2" s="21"/>
      <c r="H2" s="2"/>
      <c r="I2" s="2"/>
      <c r="J2" s="2" t="str">
        <f>CONCATENATE(C2,"|",D2,"|",E2,"|",F2,"|",G2,"|",H2,"|",I2,"|")</f>
        <v>SS|||||||</v>
      </c>
      <c r="K2" s="2"/>
      <c r="L2" s="2"/>
    </row>
    <row r="3" spans="1:12" x14ac:dyDescent="0.35">
      <c r="A3" s="53" t="s">
        <v>238</v>
      </c>
      <c r="B3" s="21" t="s">
        <v>243</v>
      </c>
      <c r="C3" s="21" t="s">
        <v>135</v>
      </c>
      <c r="D3" s="25"/>
      <c r="E3" s="21"/>
      <c r="F3" s="21"/>
      <c r="G3" s="21"/>
      <c r="H3" s="2"/>
      <c r="I3" s="2"/>
      <c r="J3" s="2" t="str">
        <f>CONCATENATE(C3,"|",D3,"|",E3,"|",F3,"|",G3,"|",H3,"|",I3,"|")</f>
        <v>SS|||||||</v>
      </c>
      <c r="K3" s="2"/>
      <c r="L3" s="2"/>
    </row>
    <row r="4" spans="1:12" x14ac:dyDescent="0.35">
      <c r="A4" s="31"/>
      <c r="B4" s="7"/>
      <c r="C4" s="7"/>
      <c r="D4" s="7"/>
      <c r="E4" s="7"/>
      <c r="F4" s="7"/>
      <c r="G4" s="7"/>
    </row>
    <row r="5" spans="1:12" x14ac:dyDescent="0.35">
      <c r="A5" s="31"/>
      <c r="B5" s="7"/>
      <c r="C5" s="7"/>
      <c r="D5" s="7"/>
      <c r="E5" s="7"/>
      <c r="F5" s="7"/>
      <c r="G5" s="7"/>
    </row>
    <row r="6" spans="1:12" x14ac:dyDescent="0.35">
      <c r="A6" s="31"/>
      <c r="B6" s="7"/>
      <c r="C6" s="7"/>
      <c r="D6" s="7"/>
      <c r="E6" s="7"/>
      <c r="F6" s="7"/>
      <c r="G6" s="7"/>
    </row>
    <row r="7" spans="1:12" x14ac:dyDescent="0.35">
      <c r="A7" s="31"/>
      <c r="B7" s="7"/>
      <c r="C7" s="7"/>
      <c r="D7" s="7"/>
      <c r="E7" s="7"/>
      <c r="F7" s="7"/>
      <c r="G7" s="7"/>
    </row>
    <row r="8" spans="1:12" x14ac:dyDescent="0.35">
      <c r="A8" s="31"/>
      <c r="B8" s="7"/>
      <c r="C8" s="7"/>
      <c r="D8" s="7"/>
      <c r="E8" s="7"/>
      <c r="F8" s="7"/>
      <c r="G8" s="7"/>
    </row>
    <row r="9" spans="1:12" x14ac:dyDescent="0.35">
      <c r="A9" s="31"/>
      <c r="B9" s="7"/>
      <c r="C9" s="7"/>
      <c r="D9" s="7"/>
      <c r="E9" s="7"/>
      <c r="F9" s="7"/>
      <c r="G9" s="7"/>
    </row>
    <row r="10" spans="1:12" x14ac:dyDescent="0.35">
      <c r="A10" s="31"/>
      <c r="B10" s="7"/>
      <c r="C10" s="7"/>
      <c r="D10" s="7"/>
      <c r="E10" s="7"/>
      <c r="F10" s="7"/>
      <c r="G10" s="7"/>
    </row>
    <row r="11" spans="1:12" x14ac:dyDescent="0.35">
      <c r="A11" s="31"/>
      <c r="B11" s="7"/>
      <c r="C11" s="7"/>
      <c r="D11" s="7"/>
      <c r="E11" s="7"/>
      <c r="F11" s="7"/>
      <c r="G11" s="7"/>
    </row>
    <row r="12" spans="1:12" x14ac:dyDescent="0.35">
      <c r="A12" s="31"/>
      <c r="B12" s="7"/>
      <c r="C12" s="7"/>
      <c r="D12" s="7"/>
      <c r="E12" s="7"/>
      <c r="F12" s="7"/>
      <c r="G12" s="7"/>
    </row>
    <row r="13" spans="1:12" x14ac:dyDescent="0.35">
      <c r="A13" s="31"/>
      <c r="B13" s="7"/>
      <c r="C13" s="7"/>
      <c r="D13" s="7"/>
      <c r="E13" s="7"/>
      <c r="F13" s="7"/>
      <c r="G13" s="7"/>
    </row>
    <row r="14" spans="1:12" x14ac:dyDescent="0.35">
      <c r="A14" s="31"/>
      <c r="B14" s="7"/>
      <c r="C14" s="7"/>
      <c r="D14" s="7"/>
      <c r="E14" s="7"/>
      <c r="F14" s="7"/>
      <c r="G14" s="7"/>
    </row>
    <row r="15" spans="1:12" x14ac:dyDescent="0.35">
      <c r="A15" s="31"/>
      <c r="B15" s="7"/>
      <c r="C15" s="7"/>
      <c r="D15" s="7"/>
      <c r="E15" s="7"/>
      <c r="F15" s="7"/>
      <c r="G15" s="7"/>
    </row>
    <row r="16" spans="1:12" x14ac:dyDescent="0.35">
      <c r="A16" s="32"/>
      <c r="B16" s="7"/>
      <c r="C16" s="7"/>
      <c r="D16" s="7"/>
      <c r="E16" s="7"/>
      <c r="F16" s="7"/>
      <c r="G16" s="7"/>
    </row>
    <row r="17" spans="3:7" x14ac:dyDescent="0.35">
      <c r="C17" s="7"/>
      <c r="D17" s="7"/>
      <c r="E17" s="7"/>
      <c r="F17" s="7"/>
      <c r="G17" s="7"/>
    </row>
    <row r="18" spans="3:7" x14ac:dyDescent="0.35">
      <c r="C18" s="7"/>
      <c r="D18" s="7"/>
      <c r="E18" s="7"/>
      <c r="F18" s="7"/>
      <c r="G18" s="7"/>
    </row>
    <row r="19" spans="3:7" x14ac:dyDescent="0.35">
      <c r="C19" s="7"/>
      <c r="D19" s="7"/>
      <c r="E19" s="7"/>
      <c r="F19" s="7"/>
      <c r="G19" s="7"/>
    </row>
    <row r="20" spans="3:7" x14ac:dyDescent="0.35">
      <c r="C20" s="7"/>
      <c r="D20" s="7"/>
      <c r="E20" s="7"/>
      <c r="F20" s="7"/>
      <c r="G20" s="7"/>
    </row>
    <row r="21" spans="3:7" x14ac:dyDescent="0.35">
      <c r="C21" s="7"/>
      <c r="D21" s="7"/>
      <c r="E21" s="7"/>
      <c r="F21" s="7"/>
      <c r="G21" s="7"/>
    </row>
    <row r="22" spans="3:7" x14ac:dyDescent="0.35">
      <c r="C22" s="7"/>
      <c r="D22" s="7"/>
      <c r="E22" s="7"/>
      <c r="F22" s="7"/>
      <c r="G22" s="7"/>
    </row>
    <row r="23" spans="3:7" x14ac:dyDescent="0.35">
      <c r="C23" s="7"/>
      <c r="D23" s="7"/>
      <c r="E23" s="7"/>
      <c r="F23" s="7"/>
      <c r="G23" s="7"/>
    </row>
    <row r="24" spans="3:7" x14ac:dyDescent="0.35">
      <c r="C24" s="7"/>
      <c r="D24" s="7"/>
      <c r="E24" s="7"/>
      <c r="F24" s="7"/>
      <c r="G24" s="7"/>
    </row>
    <row r="25" spans="3:7" x14ac:dyDescent="0.35">
      <c r="C25" s="7"/>
      <c r="D25" s="7"/>
      <c r="E25" s="7"/>
      <c r="F25" s="7"/>
      <c r="G25" s="7"/>
    </row>
    <row r="26" spans="3:7" x14ac:dyDescent="0.35">
      <c r="C26" s="7"/>
      <c r="D26" s="7"/>
      <c r="E26" s="7"/>
      <c r="F26" s="7"/>
      <c r="G26" s="7"/>
    </row>
    <row r="27" spans="3:7" x14ac:dyDescent="0.35">
      <c r="C27" s="7"/>
      <c r="D27" s="7"/>
      <c r="E27" s="7"/>
      <c r="F27" s="7"/>
      <c r="G27" s="7"/>
    </row>
    <row r="28" spans="3:7" x14ac:dyDescent="0.35">
      <c r="C28" s="7"/>
      <c r="D28" s="7"/>
      <c r="E28" s="7"/>
      <c r="F28" s="7"/>
      <c r="G28" s="7"/>
    </row>
    <row r="29" spans="3:7" x14ac:dyDescent="0.35">
      <c r="C29" s="7"/>
      <c r="D29" s="7"/>
      <c r="E29" s="7"/>
      <c r="F29" s="7"/>
      <c r="G29" s="7"/>
    </row>
    <row r="30" spans="3:7" x14ac:dyDescent="0.35">
      <c r="C30" s="7"/>
      <c r="D30" s="7"/>
      <c r="E30" s="7"/>
      <c r="F30" s="7"/>
      <c r="G30" s="7"/>
    </row>
    <row r="31" spans="3:7" x14ac:dyDescent="0.35">
      <c r="C31" s="7"/>
      <c r="D31" s="7"/>
      <c r="E31" s="7"/>
      <c r="F31" s="7"/>
      <c r="G31" s="7"/>
    </row>
    <row r="32" spans="3:7" x14ac:dyDescent="0.35">
      <c r="C32" s="7"/>
      <c r="D32" s="7"/>
      <c r="E32" s="7"/>
      <c r="F32" s="7"/>
      <c r="G32" s="7"/>
    </row>
    <row r="33" spans="3:7" x14ac:dyDescent="0.35">
      <c r="C33" s="7"/>
      <c r="D33" s="7"/>
      <c r="E33" s="7"/>
      <c r="F33" s="7"/>
      <c r="G33" s="7"/>
    </row>
    <row r="34" spans="3:7" x14ac:dyDescent="0.35">
      <c r="C34" s="7"/>
      <c r="D34" s="7"/>
      <c r="E34" s="7"/>
      <c r="F34" s="7"/>
      <c r="G34" s="7"/>
    </row>
    <row r="35" spans="3:7" x14ac:dyDescent="0.35">
      <c r="C35" s="7"/>
      <c r="D35" s="7"/>
      <c r="E35" s="7"/>
      <c r="F35" s="7"/>
      <c r="G35" s="7"/>
    </row>
    <row r="36" spans="3:7" x14ac:dyDescent="0.35">
      <c r="C36" s="7"/>
      <c r="D36" s="7"/>
      <c r="E36" s="7"/>
      <c r="F36" s="7"/>
      <c r="G36" s="7"/>
    </row>
    <row r="37" spans="3:7" x14ac:dyDescent="0.35">
      <c r="C37" s="7"/>
      <c r="D37" s="7"/>
      <c r="E37" s="7"/>
      <c r="F37" s="7"/>
      <c r="G37" s="7"/>
    </row>
    <row r="38" spans="3:7" x14ac:dyDescent="0.35">
      <c r="C38" s="7"/>
      <c r="D38" s="7"/>
      <c r="E38" s="7"/>
      <c r="F38" s="7"/>
      <c r="G38" s="7"/>
    </row>
    <row r="39" spans="3:7" x14ac:dyDescent="0.35">
      <c r="C39" s="7"/>
      <c r="D39" s="7"/>
      <c r="E39" s="7"/>
      <c r="F39" s="7"/>
      <c r="G39" s="7"/>
    </row>
    <row r="40" spans="3:7" x14ac:dyDescent="0.35">
      <c r="C40" s="7"/>
      <c r="D40" s="7"/>
      <c r="E40" s="7"/>
      <c r="F40" s="7"/>
      <c r="G40" s="7"/>
    </row>
    <row r="41" spans="3:7" x14ac:dyDescent="0.35">
      <c r="C41" s="7"/>
      <c r="D41" s="7"/>
      <c r="E41" s="7"/>
      <c r="F41" s="7"/>
      <c r="G41" s="7"/>
    </row>
    <row r="42" spans="3:7" x14ac:dyDescent="0.35">
      <c r="C42" s="7"/>
      <c r="D42" s="7"/>
      <c r="E42" s="7"/>
      <c r="F42" s="7"/>
      <c r="G42" s="7"/>
    </row>
  </sheetData>
  <phoneticPr fontId="0" type="noConversion"/>
  <pageMargins left="0.7" right="0.7" top="0.75" bottom="0.75" header="0.3" footer="0.3"/>
  <pageSetup orientation="portrait" horizontalDpi="90" verticalDpi="90" r:id="rId1"/>
  <headerFooter>
    <oddFooter>&amp;C&amp;1#&amp;"Calibri"&amp;14&amp;KFF0000PROPRIETARY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8"/>
  <sheetViews>
    <sheetView showGridLines="0" workbookViewId="0">
      <selection activeCell="K1" sqref="K1:K3"/>
    </sheetView>
  </sheetViews>
  <sheetFormatPr defaultRowHeight="14.5" x14ac:dyDescent="0.35"/>
  <cols>
    <col min="1" max="1" width="7.54296875" bestFit="1" customWidth="1"/>
    <col min="2" max="2" width="4.54296875" bestFit="1" customWidth="1"/>
    <col min="3" max="3" width="18" bestFit="1" customWidth="1"/>
    <col min="4" max="4" width="17.26953125" bestFit="1" customWidth="1"/>
    <col min="5" max="5" width="8.1796875" bestFit="1" customWidth="1"/>
    <col min="6" max="6" width="27.7265625" bestFit="1" customWidth="1"/>
    <col min="7" max="7" width="28.26953125" bestFit="1" customWidth="1"/>
    <col min="8" max="8" width="17.7265625" bestFit="1" customWidth="1"/>
    <col min="9" max="9" width="20.26953125" bestFit="1" customWidth="1"/>
    <col min="10" max="10" width="5.54296875" bestFit="1" customWidth="1"/>
    <col min="11" max="11" width="10.453125" bestFit="1" customWidth="1"/>
  </cols>
  <sheetData>
    <row r="1" spans="1:11" x14ac:dyDescent="0.35">
      <c r="A1" s="29" t="s">
        <v>131</v>
      </c>
      <c r="B1" s="29" t="s">
        <v>132</v>
      </c>
      <c r="C1" s="1" t="s">
        <v>7</v>
      </c>
      <c r="D1" s="1" t="s">
        <v>106</v>
      </c>
      <c r="E1" s="1" t="s">
        <v>107</v>
      </c>
      <c r="F1" s="1" t="s">
        <v>108</v>
      </c>
      <c r="G1" s="1" t="s">
        <v>109</v>
      </c>
      <c r="H1" s="3" t="s">
        <v>110</v>
      </c>
      <c r="I1" s="1" t="s">
        <v>111</v>
      </c>
      <c r="J1" s="2" t="s">
        <v>6</v>
      </c>
      <c r="K1" s="2" t="s">
        <v>139</v>
      </c>
    </row>
    <row r="2" spans="1:11" x14ac:dyDescent="0.35">
      <c r="A2" s="20" t="s">
        <v>237</v>
      </c>
      <c r="B2" s="2">
        <v>7</v>
      </c>
      <c r="C2" s="2" t="s">
        <v>136</v>
      </c>
      <c r="D2" s="2"/>
      <c r="E2" s="2"/>
      <c r="F2" s="2"/>
      <c r="G2" s="2"/>
      <c r="H2" s="2"/>
      <c r="I2" s="2"/>
      <c r="J2" s="2"/>
      <c r="K2" s="2" t="str">
        <f>CONCATENATE(C2,"|",D2,"|",E2,"|",F2,"|",G2,"|",H2,"|",I2,"|")</f>
        <v>CD|||||||</v>
      </c>
    </row>
    <row r="3" spans="1:11" x14ac:dyDescent="0.35">
      <c r="A3" s="53" t="s">
        <v>238</v>
      </c>
      <c r="B3" s="2">
        <v>7</v>
      </c>
      <c r="C3" s="2" t="s">
        <v>136</v>
      </c>
      <c r="D3" s="2"/>
      <c r="E3" s="2"/>
      <c r="F3" s="2"/>
      <c r="G3" s="2"/>
      <c r="H3" s="2"/>
      <c r="I3" s="2"/>
      <c r="J3" s="2"/>
      <c r="K3" s="2" t="str">
        <f>CONCATENATE(C3,"|",D3,"|",E3,"|",F3,"|",G3,"|",H3,"|",I3,"|")</f>
        <v>CD|||||||</v>
      </c>
    </row>
    <row r="4" spans="1:11" x14ac:dyDescent="0.35">
      <c r="A4" s="31"/>
    </row>
    <row r="5" spans="1:11" x14ac:dyDescent="0.35">
      <c r="A5" s="31"/>
    </row>
    <row r="6" spans="1:11" x14ac:dyDescent="0.35">
      <c r="A6" s="31"/>
    </row>
    <row r="7" spans="1:11" x14ac:dyDescent="0.35">
      <c r="A7" s="31"/>
    </row>
    <row r="8" spans="1:11" x14ac:dyDescent="0.35">
      <c r="A8" s="31"/>
    </row>
    <row r="9" spans="1:11" x14ac:dyDescent="0.35">
      <c r="A9" s="31"/>
    </row>
    <row r="10" spans="1:11" x14ac:dyDescent="0.35">
      <c r="A10" s="31"/>
    </row>
    <row r="11" spans="1:11" x14ac:dyDescent="0.35">
      <c r="A11" s="31"/>
    </row>
    <row r="12" spans="1:11" x14ac:dyDescent="0.35">
      <c r="A12" s="31"/>
    </row>
    <row r="13" spans="1:11" x14ac:dyDescent="0.35">
      <c r="A13" s="31"/>
    </row>
    <row r="14" spans="1:11" x14ac:dyDescent="0.35">
      <c r="A14" s="31"/>
    </row>
    <row r="15" spans="1:11" x14ac:dyDescent="0.35">
      <c r="A15" s="31"/>
    </row>
    <row r="16" spans="1:11" x14ac:dyDescent="0.35">
      <c r="A16" s="31"/>
    </row>
    <row r="17" spans="1:1" x14ac:dyDescent="0.35">
      <c r="A17" s="31"/>
    </row>
    <row r="18" spans="1:1" x14ac:dyDescent="0.35">
      <c r="A18" s="32"/>
    </row>
  </sheetData>
  <phoneticPr fontId="0" type="noConversion"/>
  <pageMargins left="0.7" right="0.7" top="0.75" bottom="0.75" header="0.3" footer="0.3"/>
  <pageSetup orientation="portrait" horizontalDpi="90" verticalDpi="90" r:id="rId1"/>
  <headerFooter>
    <oddFooter>&amp;C&amp;1#&amp;"Calibri"&amp;14&amp;KFF0000PROPRIETARY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E2"/>
  <sheetViews>
    <sheetView showGridLines="0" workbookViewId="0">
      <selection activeCell="E2" sqref="E2"/>
    </sheetView>
  </sheetViews>
  <sheetFormatPr defaultRowHeight="14.5" x14ac:dyDescent="0.35"/>
  <cols>
    <col min="1" max="1" width="18" bestFit="1" customWidth="1"/>
    <col min="2" max="2" width="29" bestFit="1" customWidth="1"/>
    <col min="3" max="3" width="33" style="63" bestFit="1" customWidth="1"/>
    <col min="5" max="5" width="26.54296875" bestFit="1" customWidth="1"/>
  </cols>
  <sheetData>
    <row r="1" spans="1:5" x14ac:dyDescent="0.35">
      <c r="A1" s="64" t="s">
        <v>112</v>
      </c>
      <c r="B1" s="64" t="s">
        <v>113</v>
      </c>
      <c r="C1" s="65" t="s">
        <v>114</v>
      </c>
      <c r="D1" s="65" t="s">
        <v>6</v>
      </c>
      <c r="E1" s="65" t="s">
        <v>139</v>
      </c>
    </row>
    <row r="2" spans="1:5" x14ac:dyDescent="0.35">
      <c r="A2" s="5" t="s">
        <v>130</v>
      </c>
      <c r="B2" s="27">
        <v>1</v>
      </c>
      <c r="C2" s="62">
        <v>1</v>
      </c>
      <c r="D2" s="2"/>
      <c r="E2" s="2" t="str">
        <f>CONCATENATE(A2,"|",B2,"|",C2,"|")</f>
        <v>TS|1|1|</v>
      </c>
    </row>
  </sheetData>
  <phoneticPr fontId="0" type="noConversion"/>
  <pageMargins left="0.7" right="0.7" top="0.75" bottom="0.75" header="0.3" footer="0.3"/>
  <pageSetup orientation="portrait" r:id="rId1"/>
  <headerFooter>
    <oddFooter>&amp;C&amp;1#&amp;"Calibri"&amp;14&amp;KFF0000PROPRIETARY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00000"/>
  </sheetPr>
  <dimension ref="A1:F22"/>
  <sheetViews>
    <sheetView showGridLines="0" workbookViewId="0">
      <selection activeCell="M4" sqref="M4"/>
    </sheetView>
  </sheetViews>
  <sheetFormatPr defaultRowHeight="14.5" x14ac:dyDescent="0.35"/>
  <cols>
    <col min="1" max="1" width="7.54296875" bestFit="1" customWidth="1"/>
    <col min="2" max="2" width="4.54296875" bestFit="1" customWidth="1"/>
    <col min="3" max="3" width="18" bestFit="1" customWidth="1"/>
    <col min="4" max="4" width="25" customWidth="1"/>
  </cols>
  <sheetData>
    <row r="1" spans="1:6" x14ac:dyDescent="0.35">
      <c r="A1" s="2" t="s">
        <v>131</v>
      </c>
      <c r="B1" s="2" t="s">
        <v>132</v>
      </c>
      <c r="C1" s="2" t="s">
        <v>7</v>
      </c>
      <c r="D1" s="2" t="s">
        <v>244</v>
      </c>
    </row>
    <row r="2" spans="1:6" x14ac:dyDescent="0.35">
      <c r="A2" s="20" t="s">
        <v>144</v>
      </c>
      <c r="B2" s="13">
        <v>1</v>
      </c>
      <c r="C2" s="10" t="s">
        <v>127</v>
      </c>
      <c r="D2" s="2" t="s">
        <v>195</v>
      </c>
      <c r="E2" s="39"/>
      <c r="F2" s="38"/>
    </row>
    <row r="3" spans="1:6" x14ac:dyDescent="0.35">
      <c r="A3" s="20" t="s">
        <v>144</v>
      </c>
      <c r="B3" s="13">
        <v>2</v>
      </c>
      <c r="C3" s="13" t="s">
        <v>128</v>
      </c>
      <c r="D3" s="12" t="s">
        <v>197</v>
      </c>
      <c r="E3" s="43"/>
      <c r="F3" s="33"/>
    </row>
    <row r="4" spans="1:6" x14ac:dyDescent="0.35">
      <c r="A4" s="20" t="s">
        <v>144</v>
      </c>
      <c r="B4" s="21">
        <v>3</v>
      </c>
      <c r="C4" s="21" t="s">
        <v>133</v>
      </c>
      <c r="D4" s="2" t="s">
        <v>199</v>
      </c>
    </row>
    <row r="5" spans="1:6" x14ac:dyDescent="0.35">
      <c r="A5" s="20" t="s">
        <v>144</v>
      </c>
      <c r="B5" s="21">
        <v>3</v>
      </c>
      <c r="C5" s="21" t="s">
        <v>133</v>
      </c>
      <c r="D5" s="2" t="s">
        <v>200</v>
      </c>
    </row>
    <row r="6" spans="1:6" x14ac:dyDescent="0.35">
      <c r="A6" s="20" t="s">
        <v>144</v>
      </c>
      <c r="B6" s="21">
        <v>3</v>
      </c>
      <c r="C6" s="21" t="s">
        <v>133</v>
      </c>
      <c r="D6" s="2" t="s">
        <v>201</v>
      </c>
    </row>
    <row r="7" spans="1:6" x14ac:dyDescent="0.35">
      <c r="A7" s="20" t="s">
        <v>144</v>
      </c>
      <c r="B7" s="13">
        <v>4</v>
      </c>
      <c r="C7" s="10" t="s">
        <v>129</v>
      </c>
      <c r="D7" s="2" t="s">
        <v>203</v>
      </c>
    </row>
    <row r="8" spans="1:6" x14ac:dyDescent="0.35">
      <c r="A8" s="20" t="s">
        <v>144</v>
      </c>
      <c r="B8" s="21">
        <v>5</v>
      </c>
      <c r="C8" s="21" t="s">
        <v>134</v>
      </c>
      <c r="D8" s="2" t="s">
        <v>206</v>
      </c>
    </row>
    <row r="9" spans="1:6" x14ac:dyDescent="0.35">
      <c r="A9" s="20" t="s">
        <v>144</v>
      </c>
      <c r="B9" s="21">
        <v>5</v>
      </c>
      <c r="C9" s="21" t="s">
        <v>134</v>
      </c>
      <c r="D9" s="2" t="s">
        <v>207</v>
      </c>
    </row>
    <row r="10" spans="1:6" x14ac:dyDescent="0.35">
      <c r="A10" s="20" t="s">
        <v>144</v>
      </c>
      <c r="B10" s="21">
        <v>5</v>
      </c>
      <c r="C10" s="21" t="s">
        <v>134</v>
      </c>
      <c r="D10" s="2" t="s">
        <v>207</v>
      </c>
    </row>
    <row r="11" spans="1:6" x14ac:dyDescent="0.35">
      <c r="A11" s="20" t="s">
        <v>144</v>
      </c>
      <c r="B11" s="21">
        <v>6</v>
      </c>
      <c r="C11" s="21" t="s">
        <v>135</v>
      </c>
      <c r="D11" s="2" t="s">
        <v>148</v>
      </c>
    </row>
    <row r="12" spans="1:6" x14ac:dyDescent="0.35">
      <c r="A12" s="20" t="s">
        <v>144</v>
      </c>
      <c r="B12" s="2">
        <v>7</v>
      </c>
      <c r="C12" s="2" t="s">
        <v>136</v>
      </c>
      <c r="D12" s="2" t="s">
        <v>209</v>
      </c>
    </row>
    <row r="13" spans="1:6" x14ac:dyDescent="0.35">
      <c r="A13" s="20" t="s">
        <v>143</v>
      </c>
      <c r="B13" s="13">
        <v>1</v>
      </c>
      <c r="C13" s="10" t="s">
        <v>127</v>
      </c>
      <c r="D13" s="2" t="s">
        <v>194</v>
      </c>
    </row>
    <row r="14" spans="1:6" x14ac:dyDescent="0.35">
      <c r="A14" s="20" t="s">
        <v>143</v>
      </c>
      <c r="B14" s="13">
        <v>2</v>
      </c>
      <c r="C14" s="13" t="s">
        <v>128</v>
      </c>
      <c r="D14" s="12" t="s">
        <v>196</v>
      </c>
    </row>
    <row r="15" spans="1:6" x14ac:dyDescent="0.35">
      <c r="A15" s="20" t="s">
        <v>143</v>
      </c>
      <c r="B15" s="21">
        <v>3</v>
      </c>
      <c r="C15" s="21" t="s">
        <v>133</v>
      </c>
      <c r="D15" s="2" t="s">
        <v>198</v>
      </c>
    </row>
    <row r="16" spans="1:6" x14ac:dyDescent="0.35">
      <c r="A16" s="20" t="s">
        <v>143</v>
      </c>
      <c r="B16" s="13">
        <v>4</v>
      </c>
      <c r="C16" s="10" t="s">
        <v>129</v>
      </c>
      <c r="D16" s="2" t="s">
        <v>202</v>
      </c>
    </row>
    <row r="17" spans="1:4" x14ac:dyDescent="0.35">
      <c r="A17" s="20" t="s">
        <v>143</v>
      </c>
      <c r="B17" s="21">
        <v>5</v>
      </c>
      <c r="C17" s="21" t="s">
        <v>134</v>
      </c>
      <c r="D17" s="2" t="s">
        <v>204</v>
      </c>
    </row>
    <row r="18" spans="1:4" x14ac:dyDescent="0.35">
      <c r="A18" s="20" t="s">
        <v>143</v>
      </c>
      <c r="B18" s="21">
        <v>5</v>
      </c>
      <c r="C18" s="21" t="s">
        <v>134</v>
      </c>
      <c r="D18" s="2" t="s">
        <v>205</v>
      </c>
    </row>
    <row r="19" spans="1:4" x14ac:dyDescent="0.35">
      <c r="A19" s="20" t="s">
        <v>143</v>
      </c>
      <c r="B19" s="21">
        <v>6</v>
      </c>
      <c r="C19" s="21" t="s">
        <v>135</v>
      </c>
      <c r="D19" s="2" t="s">
        <v>146</v>
      </c>
    </row>
    <row r="20" spans="1:4" x14ac:dyDescent="0.35">
      <c r="A20" s="20" t="s">
        <v>143</v>
      </c>
      <c r="B20" s="21">
        <v>6</v>
      </c>
      <c r="C20" s="21" t="s">
        <v>135</v>
      </c>
      <c r="D20" s="2" t="s">
        <v>147</v>
      </c>
    </row>
    <row r="21" spans="1:4" x14ac:dyDescent="0.35">
      <c r="A21" s="20" t="s">
        <v>143</v>
      </c>
      <c r="B21" s="2">
        <v>7</v>
      </c>
      <c r="C21" s="2" t="s">
        <v>136</v>
      </c>
      <c r="D21" s="2" t="s">
        <v>208</v>
      </c>
    </row>
    <row r="22" spans="1:4" x14ac:dyDescent="0.35">
      <c r="D22" t="s">
        <v>245</v>
      </c>
    </row>
  </sheetData>
  <sortState xmlns:xlrd2="http://schemas.microsoft.com/office/spreadsheetml/2017/richdata2" ref="A2:D24">
    <sortCondition ref="A2:A24"/>
    <sortCondition ref="B2:B24"/>
  </sortState>
  <phoneticPr fontId="0" type="noConversion"/>
  <pageMargins left="0.7" right="0.7" top="0.75" bottom="0.75" header="0.3" footer="0.3"/>
  <pageSetup orientation="portrait" horizontalDpi="90" verticalDpi="90" r:id="rId1"/>
  <headerFooter>
    <oddFooter>&amp;C&amp;1#&amp;"Calibri"&amp;14&amp;KFF0000PROPRIETARY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Instructions</vt:lpstr>
      <vt:lpstr>HD</vt:lpstr>
      <vt:lpstr>BS</vt:lpstr>
      <vt:lpstr>AS</vt:lpstr>
      <vt:lpstr>RS</vt:lpstr>
      <vt:lpstr>CR</vt:lpstr>
      <vt:lpstr>GS</vt:lpstr>
      <vt:lpstr>SS</vt:lpstr>
      <vt:lpstr>CD</vt:lpstr>
      <vt:lpstr>TS</vt:lpstr>
      <vt:lpstr>sorting</vt:lpstr>
      <vt:lpstr>Instructions!Print_Area</vt:lpstr>
    </vt:vector>
  </TitlesOfParts>
  <Company>CIBIL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Hemang Dave</dc:creator>
  <cp:lastModifiedBy>Lalita Sharma</cp:lastModifiedBy>
  <cp:lastPrinted>2017-03-16T06:22:39Z</cp:lastPrinted>
  <dcterms:created xsi:type="dcterms:W3CDTF">2013-01-04T06:18:18Z</dcterms:created>
  <dcterms:modified xsi:type="dcterms:W3CDTF">2024-08-07T12:13:03Z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0256a1f-b285-473e-b9d4-4958c5af7e72_Enabled">
    <vt:lpwstr>true</vt:lpwstr>
  </property>
  <property fmtid="{D5CDD505-2E9C-101B-9397-08002B2CF9AE}" pid="3" name="MSIP_Label_e0256a1f-b285-473e-b9d4-4958c5af7e72_SetDate">
    <vt:lpwstr>2022-07-06T10:07:19Z</vt:lpwstr>
  </property>
  <property fmtid="{D5CDD505-2E9C-101B-9397-08002B2CF9AE}" pid="4" name="MSIP_Label_e0256a1f-b285-473e-b9d4-4958c5af7e72_Method">
    <vt:lpwstr>Standard</vt:lpwstr>
  </property>
  <property fmtid="{D5CDD505-2E9C-101B-9397-08002B2CF9AE}" pid="5" name="MSIP_Label_e0256a1f-b285-473e-b9d4-4958c5af7e72_Name">
    <vt:lpwstr>General</vt:lpwstr>
  </property>
  <property fmtid="{D5CDD505-2E9C-101B-9397-08002B2CF9AE}" pid="6" name="MSIP_Label_e0256a1f-b285-473e-b9d4-4958c5af7e72_SiteId">
    <vt:lpwstr>714c7b7e-f6e9-4484-9335-85ab2695813f</vt:lpwstr>
  </property>
  <property fmtid="{D5CDD505-2E9C-101B-9397-08002B2CF9AE}" pid="7" name="MSIP_Label_e0256a1f-b285-473e-b9d4-4958c5af7e72_ActionId">
    <vt:lpwstr>e76d4a44-97a5-43b5-96b0-591c0d691c0b</vt:lpwstr>
  </property>
  <property fmtid="{D5CDD505-2E9C-101B-9397-08002B2CF9AE}" pid="8" name="MSIP_Label_e0256a1f-b285-473e-b9d4-4958c5af7e72_ContentBits">
    <vt:lpwstr>2</vt:lpwstr>
  </property>
</Properties>
</file>